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ツキガミ\西纳普斯自动机械\"/>
    </mc:Choice>
  </mc:AlternateContent>
  <xr:revisionPtr revIDLastSave="0" documentId="13_ncr:1_{4FD3FDFD-2514-4B91-8A6E-3F6454BBE6EF}" xr6:coauthVersionLast="47" xr6:coauthVersionMax="47" xr10:uidLastSave="{00000000-0000-0000-0000-000000000000}"/>
  <bookViews>
    <workbookView xWindow="-108" yWindow="-108" windowWidth="23256" windowHeight="12576" xr2:uid="{BBA00183-FEF0-4C7B-889D-881580BA3338}"/>
  </bookViews>
  <sheets>
    <sheet name="续航时间" sheetId="1" r:id="rId1"/>
    <sheet name="桨叶库" sheetId="2" r:id="rId2"/>
    <sheet name="电机库" sheetId="6" r:id="rId3"/>
    <sheet name="电池库" sheetId="5" r:id="rId4"/>
    <sheet name="数据验证" sheetId="4" r:id="rId5"/>
    <sheet name="摄像头" sheetId="7" r:id="rId6"/>
    <sheet name="四环绕" sheetId="9" r:id="rId7"/>
  </sheets>
  <calcPr calcId="191029" iterate="1" iterateCount="50" iterateDelta="1E-4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7" i="1" l="1"/>
  <c r="S17" i="1"/>
  <c r="T17" i="1"/>
  <c r="U17" i="1"/>
  <c r="V17" i="1"/>
  <c r="W17" i="1"/>
  <c r="X17" i="1"/>
  <c r="Y17" i="1"/>
  <c r="Z17" i="1"/>
  <c r="AA17" i="1"/>
  <c r="AB17" i="1"/>
  <c r="AC17" i="1"/>
  <c r="R18" i="1"/>
  <c r="S18" i="1"/>
  <c r="T18" i="1"/>
  <c r="U18" i="1"/>
  <c r="V18" i="1"/>
  <c r="W18" i="1"/>
  <c r="X18" i="1"/>
  <c r="Y18" i="1"/>
  <c r="Z18" i="1"/>
  <c r="AA18" i="1"/>
  <c r="AB18" i="1"/>
  <c r="AC18" i="1"/>
  <c r="R19" i="1"/>
  <c r="S19" i="1"/>
  <c r="T19" i="1"/>
  <c r="U19" i="1"/>
  <c r="V19" i="1"/>
  <c r="W19" i="1"/>
  <c r="X19" i="1"/>
  <c r="Y19" i="1"/>
  <c r="Z19" i="1"/>
  <c r="AA19" i="1"/>
  <c r="AB19" i="1"/>
  <c r="AC19" i="1"/>
  <c r="R20" i="1"/>
  <c r="S20" i="1"/>
  <c r="T20" i="1"/>
  <c r="U20" i="1"/>
  <c r="V20" i="1"/>
  <c r="W20" i="1"/>
  <c r="X20" i="1"/>
  <c r="Y20" i="1"/>
  <c r="Z20" i="1"/>
  <c r="AA20" i="1"/>
  <c r="AB20" i="1"/>
  <c r="AC20" i="1"/>
  <c r="R21" i="1"/>
  <c r="S21" i="1"/>
  <c r="T21" i="1"/>
  <c r="U21" i="1"/>
  <c r="V21" i="1"/>
  <c r="W21" i="1"/>
  <c r="X21" i="1"/>
  <c r="Y21" i="1"/>
  <c r="Z21" i="1"/>
  <c r="AA21" i="1"/>
  <c r="AB21" i="1"/>
  <c r="AC21" i="1"/>
  <c r="R22" i="1"/>
  <c r="S22" i="1"/>
  <c r="T22" i="1"/>
  <c r="U22" i="1"/>
  <c r="V22" i="1"/>
  <c r="W22" i="1"/>
  <c r="X22" i="1"/>
  <c r="Y22" i="1"/>
  <c r="Z22" i="1"/>
  <c r="AA22" i="1"/>
  <c r="AB22" i="1"/>
  <c r="AC22" i="1"/>
  <c r="R23" i="1"/>
  <c r="S23" i="1"/>
  <c r="T23" i="1"/>
  <c r="U23" i="1"/>
  <c r="V23" i="1"/>
  <c r="W23" i="1"/>
  <c r="X23" i="1"/>
  <c r="Y23" i="1"/>
  <c r="Z23" i="1"/>
  <c r="AA23" i="1"/>
  <c r="AB23" i="1"/>
  <c r="AC23" i="1"/>
  <c r="R24" i="1"/>
  <c r="S24" i="1"/>
  <c r="T24" i="1"/>
  <c r="U24" i="1"/>
  <c r="V24" i="1"/>
  <c r="W24" i="1"/>
  <c r="X24" i="1"/>
  <c r="Y24" i="1"/>
  <c r="Z24" i="1"/>
  <c r="AA24" i="1"/>
  <c r="AB24" i="1"/>
  <c r="AC24" i="1"/>
  <c r="R25" i="1"/>
  <c r="S25" i="1"/>
  <c r="T25" i="1"/>
  <c r="U25" i="1"/>
  <c r="V25" i="1"/>
  <c r="W25" i="1"/>
  <c r="X25" i="1"/>
  <c r="Y25" i="1"/>
  <c r="Z25" i="1"/>
  <c r="AA25" i="1"/>
  <c r="AB25" i="1"/>
  <c r="AC25" i="1"/>
  <c r="R26" i="1"/>
  <c r="S26" i="1"/>
  <c r="T26" i="1"/>
  <c r="U26" i="1"/>
  <c r="V26" i="1"/>
  <c r="W26" i="1"/>
  <c r="X26" i="1"/>
  <c r="Y26" i="1"/>
  <c r="Z26" i="1"/>
  <c r="AA26" i="1"/>
  <c r="AB26" i="1"/>
  <c r="AC26" i="1"/>
  <c r="R27" i="1"/>
  <c r="S27" i="1"/>
  <c r="T27" i="1"/>
  <c r="U27" i="1"/>
  <c r="V27" i="1"/>
  <c r="W27" i="1"/>
  <c r="X27" i="1"/>
  <c r="Y27" i="1"/>
  <c r="Z27" i="1"/>
  <c r="AA27" i="1"/>
  <c r="AB27" i="1"/>
  <c r="AC27" i="1"/>
  <c r="S16" i="1"/>
  <c r="T16" i="1"/>
  <c r="U16" i="1"/>
  <c r="V16" i="1"/>
  <c r="W16" i="1"/>
  <c r="X16" i="1"/>
  <c r="Y16" i="1"/>
  <c r="Z16" i="1"/>
  <c r="AA16" i="1"/>
  <c r="AB16" i="1"/>
  <c r="AC16" i="1"/>
  <c r="C17" i="1"/>
  <c r="D17" i="1"/>
  <c r="E17" i="1"/>
  <c r="F17" i="1"/>
  <c r="G17" i="1"/>
  <c r="H17" i="1"/>
  <c r="I17" i="1"/>
  <c r="J17" i="1"/>
  <c r="K17" i="1"/>
  <c r="L17" i="1"/>
  <c r="M17" i="1"/>
  <c r="N17" i="1"/>
  <c r="C18" i="1"/>
  <c r="D18" i="1"/>
  <c r="E18" i="1"/>
  <c r="F18" i="1"/>
  <c r="G18" i="1"/>
  <c r="H18" i="1"/>
  <c r="I18" i="1"/>
  <c r="J18" i="1"/>
  <c r="K18" i="1"/>
  <c r="L18" i="1"/>
  <c r="M18" i="1"/>
  <c r="N18" i="1"/>
  <c r="C19" i="1"/>
  <c r="D19" i="1"/>
  <c r="E19" i="1"/>
  <c r="F19" i="1"/>
  <c r="G19" i="1"/>
  <c r="H19" i="1"/>
  <c r="I19" i="1"/>
  <c r="J19" i="1"/>
  <c r="K19" i="1"/>
  <c r="L19" i="1"/>
  <c r="M19" i="1"/>
  <c r="N19" i="1"/>
  <c r="C20" i="1"/>
  <c r="D20" i="1"/>
  <c r="E20" i="1"/>
  <c r="F20" i="1"/>
  <c r="G20" i="1"/>
  <c r="H20" i="1"/>
  <c r="I20" i="1"/>
  <c r="J20" i="1"/>
  <c r="K20" i="1"/>
  <c r="L20" i="1"/>
  <c r="M20" i="1"/>
  <c r="N20" i="1"/>
  <c r="C21" i="1"/>
  <c r="D21" i="1"/>
  <c r="E21" i="1"/>
  <c r="F21" i="1"/>
  <c r="G21" i="1"/>
  <c r="H21" i="1"/>
  <c r="I21" i="1"/>
  <c r="J21" i="1"/>
  <c r="K21" i="1"/>
  <c r="L21" i="1"/>
  <c r="M21" i="1"/>
  <c r="N21" i="1"/>
  <c r="C22" i="1"/>
  <c r="D22" i="1"/>
  <c r="E22" i="1"/>
  <c r="F22" i="1"/>
  <c r="G22" i="1"/>
  <c r="H22" i="1"/>
  <c r="I22" i="1"/>
  <c r="J22" i="1"/>
  <c r="K22" i="1"/>
  <c r="L22" i="1"/>
  <c r="M22" i="1"/>
  <c r="N22" i="1"/>
  <c r="C23" i="1"/>
  <c r="D23" i="1"/>
  <c r="E23" i="1"/>
  <c r="F23" i="1"/>
  <c r="G23" i="1"/>
  <c r="H23" i="1"/>
  <c r="I23" i="1"/>
  <c r="J23" i="1"/>
  <c r="K23" i="1"/>
  <c r="L23" i="1"/>
  <c r="M23" i="1"/>
  <c r="N23" i="1"/>
  <c r="C24" i="1"/>
  <c r="D24" i="1"/>
  <c r="E24" i="1"/>
  <c r="F24" i="1"/>
  <c r="G24" i="1"/>
  <c r="H24" i="1"/>
  <c r="I24" i="1"/>
  <c r="J24" i="1"/>
  <c r="K24" i="1"/>
  <c r="L24" i="1"/>
  <c r="M24" i="1"/>
  <c r="N24" i="1"/>
  <c r="C25" i="1"/>
  <c r="D25" i="1"/>
  <c r="E25" i="1"/>
  <c r="F25" i="1"/>
  <c r="G25" i="1"/>
  <c r="H25" i="1"/>
  <c r="I25" i="1"/>
  <c r="J25" i="1"/>
  <c r="K25" i="1"/>
  <c r="L25" i="1"/>
  <c r="M25" i="1"/>
  <c r="N25" i="1"/>
  <c r="C26" i="1"/>
  <c r="D26" i="1"/>
  <c r="E26" i="1"/>
  <c r="F26" i="1"/>
  <c r="G26" i="1"/>
  <c r="H26" i="1"/>
  <c r="I26" i="1"/>
  <c r="J26" i="1"/>
  <c r="K26" i="1"/>
  <c r="L26" i="1"/>
  <c r="M26" i="1"/>
  <c r="N26" i="1"/>
  <c r="C27" i="1"/>
  <c r="D27" i="1"/>
  <c r="E27" i="1"/>
  <c r="F27" i="1"/>
  <c r="G27" i="1"/>
  <c r="H27" i="1"/>
  <c r="I27" i="1"/>
  <c r="J27" i="1"/>
  <c r="K27" i="1"/>
  <c r="L27" i="1"/>
  <c r="M27" i="1"/>
  <c r="N27" i="1"/>
  <c r="C28" i="1"/>
  <c r="D28" i="1"/>
  <c r="E28" i="1"/>
  <c r="F28" i="1"/>
  <c r="G28" i="1"/>
  <c r="H28" i="1"/>
  <c r="I28" i="1"/>
  <c r="J28" i="1"/>
  <c r="K28" i="1"/>
  <c r="L28" i="1"/>
  <c r="M28" i="1"/>
  <c r="N28" i="1"/>
  <c r="C29" i="1"/>
  <c r="D29" i="1"/>
  <c r="E29" i="1"/>
  <c r="F29" i="1"/>
  <c r="G29" i="1"/>
  <c r="H29" i="1"/>
  <c r="I29" i="1"/>
  <c r="J29" i="1"/>
  <c r="K29" i="1"/>
  <c r="L29" i="1"/>
  <c r="M29" i="1"/>
  <c r="N29" i="1"/>
  <c r="C30" i="1"/>
  <c r="D30" i="1"/>
  <c r="E30" i="1"/>
  <c r="F30" i="1"/>
  <c r="G30" i="1"/>
  <c r="H30" i="1"/>
  <c r="I30" i="1"/>
  <c r="J30" i="1"/>
  <c r="K30" i="1"/>
  <c r="L30" i="1"/>
  <c r="M30" i="1"/>
  <c r="N30" i="1"/>
  <c r="C31" i="1"/>
  <c r="D31" i="1"/>
  <c r="E31" i="1"/>
  <c r="F31" i="1"/>
  <c r="G31" i="1"/>
  <c r="H31" i="1"/>
  <c r="I31" i="1"/>
  <c r="J31" i="1"/>
  <c r="K31" i="1"/>
  <c r="L31" i="1"/>
  <c r="M31" i="1"/>
  <c r="N31" i="1"/>
  <c r="C32" i="1"/>
  <c r="D32" i="1"/>
  <c r="E32" i="1"/>
  <c r="F32" i="1"/>
  <c r="G32" i="1"/>
  <c r="H32" i="1"/>
  <c r="I32" i="1"/>
  <c r="J32" i="1"/>
  <c r="K32" i="1"/>
  <c r="L32" i="1"/>
  <c r="M32" i="1"/>
  <c r="N32" i="1"/>
  <c r="C33" i="1"/>
  <c r="D33" i="1"/>
  <c r="E33" i="1"/>
  <c r="F33" i="1"/>
  <c r="G33" i="1"/>
  <c r="H33" i="1"/>
  <c r="I33" i="1"/>
  <c r="J33" i="1"/>
  <c r="K33" i="1"/>
  <c r="L33" i="1"/>
  <c r="M33" i="1"/>
  <c r="N33" i="1"/>
  <c r="C34" i="1"/>
  <c r="D34" i="1"/>
  <c r="E34" i="1"/>
  <c r="F34" i="1"/>
  <c r="G34" i="1"/>
  <c r="H34" i="1"/>
  <c r="I34" i="1"/>
  <c r="J34" i="1"/>
  <c r="K34" i="1"/>
  <c r="L34" i="1"/>
  <c r="M34" i="1"/>
  <c r="N34" i="1"/>
  <c r="C35" i="1"/>
  <c r="D35" i="1"/>
  <c r="E35" i="1"/>
  <c r="F35" i="1"/>
  <c r="G35" i="1"/>
  <c r="H35" i="1"/>
  <c r="I35" i="1"/>
  <c r="J35" i="1"/>
  <c r="K35" i="1"/>
  <c r="L35" i="1"/>
  <c r="M35" i="1"/>
  <c r="N35" i="1"/>
  <c r="C36" i="1"/>
  <c r="D36" i="1"/>
  <c r="E36" i="1"/>
  <c r="F36" i="1"/>
  <c r="G36" i="1"/>
  <c r="H36" i="1"/>
  <c r="I36" i="1"/>
  <c r="J36" i="1"/>
  <c r="K36" i="1"/>
  <c r="L36" i="1"/>
  <c r="M36" i="1"/>
  <c r="N36" i="1"/>
  <c r="C37" i="1"/>
  <c r="D37" i="1"/>
  <c r="E37" i="1"/>
  <c r="F37" i="1"/>
  <c r="G37" i="1"/>
  <c r="H37" i="1"/>
  <c r="I37" i="1"/>
  <c r="J37" i="1"/>
  <c r="K37" i="1"/>
  <c r="L37" i="1"/>
  <c r="M37" i="1"/>
  <c r="N37" i="1"/>
  <c r="C38" i="1"/>
  <c r="D38" i="1"/>
  <c r="E38" i="1"/>
  <c r="F38" i="1"/>
  <c r="G38" i="1"/>
  <c r="H38" i="1"/>
  <c r="I38" i="1"/>
  <c r="J38" i="1"/>
  <c r="K38" i="1"/>
  <c r="L38" i="1"/>
  <c r="M38" i="1"/>
  <c r="N38" i="1"/>
  <c r="D16" i="1"/>
  <c r="E16" i="1"/>
  <c r="F16" i="1"/>
  <c r="G16" i="1"/>
  <c r="H16" i="1"/>
  <c r="I16" i="1"/>
  <c r="J16" i="1"/>
  <c r="K16" i="1"/>
  <c r="L16" i="1"/>
  <c r="M16" i="1"/>
  <c r="N16" i="1"/>
  <c r="P75" i="4"/>
  <c r="Q75" i="4"/>
  <c r="P76" i="4"/>
  <c r="Q76" i="4"/>
  <c r="P77" i="4"/>
  <c r="Q77" i="4"/>
  <c r="P78" i="4"/>
  <c r="Q78" i="4"/>
  <c r="P79" i="4"/>
  <c r="Q79" i="4"/>
  <c r="P80" i="4"/>
  <c r="Q80" i="4"/>
  <c r="P81" i="4"/>
  <c r="Q81" i="4"/>
  <c r="P82" i="4"/>
  <c r="Q82" i="4"/>
  <c r="P83" i="4"/>
  <c r="Q83" i="4"/>
  <c r="P84" i="4"/>
  <c r="Q84" i="4"/>
  <c r="P85" i="4"/>
  <c r="Q85" i="4"/>
  <c r="P86" i="4"/>
  <c r="Q86" i="4"/>
  <c r="P87" i="4"/>
  <c r="Q87" i="4"/>
  <c r="P88" i="4"/>
  <c r="Q88" i="4"/>
  <c r="P89" i="4"/>
  <c r="Q89" i="4"/>
  <c r="P90" i="4"/>
  <c r="Q90" i="4"/>
  <c r="P91" i="4"/>
  <c r="Q91" i="4"/>
  <c r="P92" i="4"/>
  <c r="Q92" i="4"/>
  <c r="P93" i="4"/>
  <c r="Q93" i="4"/>
  <c r="P94" i="4"/>
  <c r="Q94" i="4"/>
  <c r="P95" i="4"/>
  <c r="Q95" i="4"/>
  <c r="P96" i="4"/>
  <c r="Q96" i="4"/>
  <c r="P97" i="4"/>
  <c r="Q97" i="4"/>
  <c r="P98" i="4"/>
  <c r="Q98" i="4"/>
  <c r="P99" i="4"/>
  <c r="Q99" i="4"/>
  <c r="P100" i="4"/>
  <c r="Q100" i="4"/>
  <c r="P101" i="4"/>
  <c r="Q101" i="4"/>
  <c r="P102" i="4"/>
  <c r="Q102" i="4"/>
  <c r="P103" i="4"/>
  <c r="Q103" i="4"/>
  <c r="P104" i="4"/>
  <c r="Q104" i="4"/>
  <c r="P105" i="4"/>
  <c r="Q105" i="4"/>
  <c r="P106" i="4"/>
  <c r="Q106" i="4"/>
  <c r="P107" i="4"/>
  <c r="Q107" i="4"/>
  <c r="P108" i="4"/>
  <c r="Q108" i="4"/>
  <c r="P109" i="4"/>
  <c r="Q109" i="4"/>
  <c r="P110" i="4"/>
  <c r="Q110" i="4"/>
  <c r="P111" i="4"/>
  <c r="Q111" i="4"/>
  <c r="P112" i="4"/>
  <c r="Q112" i="4"/>
  <c r="P113" i="4"/>
  <c r="Q113" i="4"/>
  <c r="P114" i="4"/>
  <c r="Q114" i="4"/>
  <c r="P115" i="4"/>
  <c r="Q115" i="4"/>
  <c r="P116" i="4"/>
  <c r="Q116" i="4"/>
  <c r="P117" i="4"/>
  <c r="Q117" i="4"/>
  <c r="P118" i="4"/>
  <c r="Q118" i="4"/>
  <c r="P119" i="4"/>
  <c r="Q119" i="4"/>
  <c r="P120" i="4"/>
  <c r="Q120" i="4"/>
  <c r="P121" i="4"/>
  <c r="Q121" i="4"/>
  <c r="P122" i="4"/>
  <c r="Q122" i="4"/>
  <c r="P74" i="4"/>
  <c r="Q74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118" i="4"/>
  <c r="C8" i="9"/>
  <c r="D3" i="9"/>
  <c r="E3" i="9"/>
  <c r="F3" i="9"/>
  <c r="D4" i="9"/>
  <c r="E4" i="9"/>
  <c r="F4" i="9"/>
  <c r="D5" i="9"/>
  <c r="E5" i="9"/>
  <c r="F5" i="9"/>
  <c r="D6" i="9"/>
  <c r="E6" i="9"/>
  <c r="F6" i="9"/>
  <c r="D7" i="9"/>
  <c r="E7" i="9"/>
  <c r="F7" i="9"/>
  <c r="D8" i="9"/>
  <c r="E8" i="9"/>
  <c r="F8" i="9"/>
  <c r="D9" i="9"/>
  <c r="E9" i="9"/>
  <c r="F9" i="9"/>
  <c r="D10" i="9"/>
  <c r="E10" i="9"/>
  <c r="F10" i="9"/>
  <c r="D11" i="9"/>
  <c r="E11" i="9"/>
  <c r="F11" i="9"/>
  <c r="D12" i="9"/>
  <c r="E12" i="9"/>
  <c r="F12" i="9"/>
  <c r="D13" i="9"/>
  <c r="E13" i="9"/>
  <c r="F13" i="9"/>
  <c r="C3" i="9"/>
  <c r="C4" i="9"/>
  <c r="C5" i="9"/>
  <c r="C6" i="9"/>
  <c r="C7" i="9"/>
  <c r="C9" i="9"/>
  <c r="C10" i="9"/>
  <c r="C11" i="9"/>
  <c r="C12" i="9"/>
  <c r="C13" i="9"/>
  <c r="D98" i="1"/>
  <c r="E98" i="1"/>
  <c r="F98" i="1"/>
  <c r="G98" i="1"/>
  <c r="H98" i="1"/>
  <c r="I98" i="1"/>
  <c r="J98" i="1"/>
  <c r="Q100" i="1"/>
  <c r="Q101" i="1"/>
  <c r="Q102" i="1"/>
  <c r="Q103" i="1"/>
  <c r="Q104" i="1"/>
  <c r="Q105" i="1"/>
  <c r="Q106" i="1"/>
  <c r="S98" i="1"/>
  <c r="T98" i="1"/>
  <c r="U98" i="1"/>
  <c r="V98" i="1"/>
  <c r="W98" i="1"/>
  <c r="X98" i="1"/>
  <c r="Y98" i="1"/>
  <c r="Z98" i="1"/>
  <c r="AA98" i="1"/>
  <c r="R98" i="1"/>
  <c r="Q99" i="1"/>
  <c r="C98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99" i="1"/>
  <c r="C16" i="1"/>
  <c r="I299" i="4"/>
  <c r="N299" i="4" s="1"/>
  <c r="I300" i="4"/>
  <c r="N300" i="4" s="1"/>
  <c r="I301" i="4"/>
  <c r="N301" i="4" s="1"/>
  <c r="I302" i="4"/>
  <c r="N302" i="4" s="1"/>
  <c r="I303" i="4"/>
  <c r="N303" i="4" s="1"/>
  <c r="I304" i="4"/>
  <c r="N304" i="4" s="1"/>
  <c r="I305" i="4"/>
  <c r="N305" i="4" s="1"/>
  <c r="I306" i="4"/>
  <c r="N306" i="4" s="1"/>
  <c r="I307" i="4"/>
  <c r="N307" i="4" s="1"/>
  <c r="I308" i="4"/>
  <c r="N308" i="4" s="1"/>
  <c r="I309" i="4"/>
  <c r="N309" i="4" s="1"/>
  <c r="I310" i="4"/>
  <c r="N310" i="4" s="1"/>
  <c r="I311" i="4"/>
  <c r="N311" i="4" s="1"/>
  <c r="I312" i="4"/>
  <c r="N312" i="4" s="1"/>
  <c r="I313" i="4"/>
  <c r="N313" i="4" s="1"/>
  <c r="I314" i="4"/>
  <c r="N314" i="4" s="1"/>
  <c r="H344" i="4"/>
  <c r="I344" i="4" s="1"/>
  <c r="N344" i="4" s="1"/>
  <c r="H345" i="4"/>
  <c r="I345" i="4" s="1"/>
  <c r="N345" i="4" s="1"/>
  <c r="H346" i="4"/>
  <c r="I346" i="4" s="1"/>
  <c r="N346" i="4" s="1"/>
  <c r="H347" i="4"/>
  <c r="I347" i="4" s="1"/>
  <c r="N347" i="4" s="1"/>
  <c r="H348" i="4"/>
  <c r="I348" i="4" s="1"/>
  <c r="N348" i="4" s="1"/>
  <c r="H349" i="4"/>
  <c r="I349" i="4" s="1"/>
  <c r="N349" i="4" s="1"/>
  <c r="H350" i="4"/>
  <c r="I350" i="4" s="1"/>
  <c r="N350" i="4" s="1"/>
  <c r="H351" i="4"/>
  <c r="I351" i="4" s="1"/>
  <c r="N351" i="4" s="1"/>
  <c r="H352" i="4"/>
  <c r="I352" i="4" s="1"/>
  <c r="N352" i="4" s="1"/>
  <c r="H353" i="4"/>
  <c r="I353" i="4" s="1"/>
  <c r="N353" i="4" s="1"/>
  <c r="H354" i="4"/>
  <c r="I354" i="4" s="1"/>
  <c r="N354" i="4" s="1"/>
  <c r="H355" i="4"/>
  <c r="I355" i="4" s="1"/>
  <c r="N355" i="4" s="1"/>
  <c r="H356" i="4"/>
  <c r="I356" i="4" s="1"/>
  <c r="N356" i="4" s="1"/>
  <c r="H357" i="4"/>
  <c r="I357" i="4" s="1"/>
  <c r="N357" i="4" s="1"/>
  <c r="H358" i="4"/>
  <c r="I358" i="4" s="1"/>
  <c r="N358" i="4" s="1"/>
  <c r="H359" i="4"/>
  <c r="I359" i="4" s="1"/>
  <c r="N359" i="4" s="1"/>
  <c r="H360" i="4"/>
  <c r="I360" i="4" s="1"/>
  <c r="N360" i="4" s="1"/>
  <c r="H361" i="4"/>
  <c r="I361" i="4" s="1"/>
  <c r="N361" i="4" s="1"/>
  <c r="H362" i="4"/>
  <c r="I362" i="4" s="1"/>
  <c r="N362" i="4" s="1"/>
  <c r="H343" i="4"/>
  <c r="I343" i="4" s="1"/>
  <c r="N343" i="4" s="1"/>
  <c r="R16" i="1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2" i="4"/>
  <c r="I371" i="4"/>
  <c r="I370" i="4"/>
  <c r="N370" i="4" s="1"/>
  <c r="I369" i="4"/>
  <c r="N369" i="4" s="1"/>
  <c r="I368" i="4"/>
  <c r="N368" i="4" s="1"/>
  <c r="I367" i="4"/>
  <c r="N367" i="4" s="1"/>
  <c r="I366" i="4"/>
  <c r="N366" i="4" s="1"/>
  <c r="I365" i="4"/>
  <c r="N365" i="4" s="1"/>
  <c r="I364" i="4"/>
  <c r="N364" i="4" s="1"/>
  <c r="I363" i="4"/>
  <c r="N363" i="4" s="1"/>
  <c r="I342" i="4"/>
  <c r="N342" i="4" s="1"/>
  <c r="I341" i="4"/>
  <c r="N341" i="4" s="1"/>
  <c r="I340" i="4"/>
  <c r="N340" i="4" s="1"/>
  <c r="I339" i="4"/>
  <c r="N339" i="4" s="1"/>
  <c r="I338" i="4"/>
  <c r="N338" i="4" s="1"/>
  <c r="I337" i="4"/>
  <c r="N337" i="4" s="1"/>
  <c r="I336" i="4"/>
  <c r="N336" i="4" s="1"/>
  <c r="I335" i="4"/>
  <c r="N335" i="4" s="1"/>
  <c r="I334" i="4"/>
  <c r="N334" i="4" s="1"/>
  <c r="I333" i="4"/>
  <c r="N333" i="4" s="1"/>
  <c r="I332" i="4"/>
  <c r="N332" i="4" s="1"/>
  <c r="I331" i="4"/>
  <c r="N331" i="4" s="1"/>
  <c r="I330" i="4"/>
  <c r="N330" i="4" s="1"/>
  <c r="I329" i="4"/>
  <c r="N329" i="4" s="1"/>
  <c r="I328" i="4"/>
  <c r="N328" i="4" s="1"/>
  <c r="I327" i="4"/>
  <c r="N327" i="4" s="1"/>
  <c r="I326" i="4"/>
  <c r="N326" i="4" s="1"/>
  <c r="I325" i="4"/>
  <c r="N325" i="4" s="1"/>
  <c r="I324" i="4"/>
  <c r="N324" i="4" s="1"/>
  <c r="I323" i="4"/>
  <c r="N323" i="4" s="1"/>
  <c r="I322" i="4"/>
  <c r="N322" i="4" s="1"/>
  <c r="I321" i="4"/>
  <c r="N321" i="4" s="1"/>
  <c r="I320" i="4"/>
  <c r="N320" i="4" s="1"/>
  <c r="I319" i="4"/>
  <c r="N319" i="4" s="1"/>
  <c r="I318" i="4"/>
  <c r="N318" i="4" s="1"/>
  <c r="I317" i="4"/>
  <c r="N317" i="4" s="1"/>
  <c r="I316" i="4"/>
  <c r="N316" i="4" s="1"/>
  <c r="I315" i="4"/>
  <c r="N315" i="4" s="1"/>
  <c r="I298" i="4"/>
  <c r="N298" i="4" s="1"/>
  <c r="I297" i="4"/>
  <c r="N297" i="4" s="1"/>
  <c r="I296" i="4"/>
  <c r="N296" i="4" s="1"/>
  <c r="I295" i="4"/>
  <c r="N295" i="4" s="1"/>
  <c r="I294" i="4"/>
  <c r="N294" i="4" s="1"/>
  <c r="I293" i="4"/>
  <c r="N293" i="4" s="1"/>
  <c r="I292" i="4"/>
  <c r="N292" i="4" s="1"/>
  <c r="I291" i="4"/>
  <c r="N291" i="4" s="1"/>
  <c r="I290" i="4"/>
  <c r="N290" i="4" s="1"/>
  <c r="I289" i="4"/>
  <c r="N289" i="4" s="1"/>
  <c r="I288" i="4"/>
  <c r="N288" i="4" s="1"/>
  <c r="I287" i="4"/>
  <c r="N287" i="4" s="1"/>
  <c r="I286" i="4"/>
  <c r="N286" i="4" s="1"/>
  <c r="I285" i="4"/>
  <c r="N285" i="4" s="1"/>
  <c r="I284" i="4"/>
  <c r="N284" i="4" s="1"/>
  <c r="I283" i="4"/>
  <c r="N283" i="4" s="1"/>
  <c r="I282" i="4"/>
  <c r="N282" i="4" s="1"/>
  <c r="I281" i="4"/>
  <c r="N281" i="4" s="1"/>
  <c r="I280" i="4"/>
  <c r="N280" i="4" s="1"/>
  <c r="I279" i="4"/>
  <c r="N279" i="4" s="1"/>
  <c r="I278" i="4"/>
  <c r="N278" i="4" s="1"/>
  <c r="I277" i="4"/>
  <c r="N277" i="4" s="1"/>
  <c r="I276" i="4"/>
  <c r="N276" i="4" s="1"/>
  <c r="I275" i="4"/>
  <c r="N275" i="4" s="1"/>
  <c r="I274" i="4"/>
  <c r="N274" i="4" s="1"/>
  <c r="I273" i="4"/>
  <c r="N273" i="4" s="1"/>
  <c r="I272" i="4"/>
  <c r="N272" i="4" s="1"/>
  <c r="I271" i="4"/>
  <c r="N271" i="4" s="1"/>
  <c r="I270" i="4"/>
  <c r="N270" i="4" s="1"/>
  <c r="I269" i="4"/>
  <c r="N269" i="4" s="1"/>
  <c r="I268" i="4"/>
  <c r="N268" i="4" s="1"/>
  <c r="I267" i="4"/>
  <c r="N267" i="4" s="1"/>
  <c r="I266" i="4"/>
  <c r="N266" i="4" s="1"/>
  <c r="I265" i="4"/>
  <c r="N265" i="4" s="1"/>
  <c r="I264" i="4"/>
  <c r="N264" i="4" s="1"/>
  <c r="I263" i="4"/>
  <c r="N263" i="4" s="1"/>
  <c r="I262" i="4"/>
  <c r="N262" i="4" s="1"/>
  <c r="I261" i="4"/>
  <c r="N261" i="4" s="1"/>
  <c r="I260" i="4"/>
  <c r="N260" i="4" s="1"/>
  <c r="I259" i="4"/>
  <c r="N259" i="4" s="1"/>
  <c r="I258" i="4"/>
  <c r="N258" i="4" s="1"/>
  <c r="I257" i="4"/>
  <c r="N257" i="4" s="1"/>
  <c r="I256" i="4"/>
  <c r="N256" i="4" s="1"/>
  <c r="I255" i="4"/>
  <c r="N255" i="4" s="1"/>
  <c r="I254" i="4"/>
  <c r="N254" i="4" s="1"/>
  <c r="I253" i="4"/>
  <c r="N253" i="4" s="1"/>
  <c r="I252" i="4"/>
  <c r="N252" i="4" s="1"/>
  <c r="I251" i="4"/>
  <c r="N251" i="4" s="1"/>
  <c r="I250" i="4"/>
  <c r="N250" i="4" s="1"/>
  <c r="I249" i="4"/>
  <c r="N249" i="4" s="1"/>
  <c r="I248" i="4"/>
  <c r="N248" i="4" s="1"/>
  <c r="I247" i="4"/>
  <c r="N247" i="4" s="1"/>
  <c r="I246" i="4"/>
  <c r="N246" i="4" s="1"/>
  <c r="I245" i="4"/>
  <c r="N245" i="4" s="1"/>
  <c r="I244" i="4"/>
  <c r="N244" i="4" s="1"/>
  <c r="I243" i="4"/>
  <c r="N243" i="4" s="1"/>
  <c r="I242" i="4"/>
  <c r="N242" i="4" s="1"/>
  <c r="I241" i="4"/>
  <c r="N241" i="4" s="1"/>
  <c r="I240" i="4"/>
  <c r="N240" i="4" s="1"/>
  <c r="I239" i="4"/>
  <c r="N239" i="4" s="1"/>
  <c r="I238" i="4"/>
  <c r="N238" i="4" s="1"/>
  <c r="I237" i="4"/>
  <c r="N237" i="4" s="1"/>
  <c r="I236" i="4"/>
  <c r="N236" i="4" s="1"/>
  <c r="I235" i="4"/>
  <c r="N235" i="4" s="1"/>
  <c r="I234" i="4"/>
  <c r="N234" i="4" s="1"/>
  <c r="I233" i="4"/>
  <c r="N233" i="4" s="1"/>
  <c r="I232" i="4"/>
  <c r="N232" i="4" s="1"/>
  <c r="I231" i="4"/>
  <c r="N231" i="4" s="1"/>
  <c r="I230" i="4"/>
  <c r="N230" i="4" s="1"/>
  <c r="H122" i="4"/>
  <c r="I122" i="4" s="1"/>
  <c r="N122" i="4" s="1"/>
  <c r="H121" i="4"/>
  <c r="I121" i="4" s="1"/>
  <c r="N121" i="4" s="1"/>
  <c r="H120" i="4"/>
  <c r="I120" i="4" s="1"/>
  <c r="N120" i="4" s="1"/>
  <c r="H119" i="4"/>
  <c r="I119" i="4" s="1"/>
  <c r="N119" i="4" s="1"/>
  <c r="H118" i="4"/>
  <c r="I118" i="4" s="1"/>
  <c r="N118" i="4" s="1"/>
  <c r="H117" i="4"/>
  <c r="I117" i="4" s="1"/>
  <c r="N117" i="4" s="1"/>
  <c r="H116" i="4"/>
  <c r="I116" i="4" s="1"/>
  <c r="N116" i="4" s="1"/>
  <c r="H115" i="4"/>
  <c r="I115" i="4" s="1"/>
  <c r="N115" i="4" s="1"/>
  <c r="H114" i="4"/>
  <c r="I114" i="4" s="1"/>
  <c r="N114" i="4" s="1"/>
  <c r="H113" i="4"/>
  <c r="I113" i="4" s="1"/>
  <c r="N113" i="4" s="1"/>
  <c r="H112" i="4"/>
  <c r="I112" i="4" s="1"/>
  <c r="N112" i="4" s="1"/>
  <c r="H111" i="4"/>
  <c r="I111" i="4" s="1"/>
  <c r="N111" i="4" s="1"/>
  <c r="H110" i="4"/>
  <c r="I110" i="4" s="1"/>
  <c r="N110" i="4" s="1"/>
  <c r="H109" i="4"/>
  <c r="I109" i="4" s="1"/>
  <c r="N109" i="4" s="1"/>
  <c r="H108" i="4"/>
  <c r="I108" i="4" s="1"/>
  <c r="N108" i="4" s="1"/>
  <c r="H107" i="4"/>
  <c r="I107" i="4" s="1"/>
  <c r="N107" i="4" s="1"/>
  <c r="H106" i="4"/>
  <c r="I106" i="4" s="1"/>
  <c r="N106" i="4" s="1"/>
  <c r="H105" i="4"/>
  <c r="I105" i="4" s="1"/>
  <c r="N105" i="4" s="1"/>
  <c r="H104" i="4"/>
  <c r="I104" i="4" s="1"/>
  <c r="N104" i="4" s="1"/>
  <c r="H103" i="4"/>
  <c r="I103" i="4" s="1"/>
  <c r="N103" i="4" s="1"/>
  <c r="H102" i="4"/>
  <c r="I102" i="4" s="1"/>
  <c r="N102" i="4" s="1"/>
  <c r="H101" i="4"/>
  <c r="I101" i="4" s="1"/>
  <c r="N101" i="4" s="1"/>
  <c r="H100" i="4"/>
  <c r="I100" i="4" s="1"/>
  <c r="N100" i="4" s="1"/>
  <c r="H99" i="4"/>
  <c r="I99" i="4" s="1"/>
  <c r="N99" i="4" s="1"/>
  <c r="H98" i="4"/>
  <c r="I98" i="4" s="1"/>
  <c r="N98" i="4" s="1"/>
  <c r="H97" i="4"/>
  <c r="I97" i="4" s="1"/>
  <c r="N97" i="4" s="1"/>
  <c r="H96" i="4"/>
  <c r="I96" i="4" s="1"/>
  <c r="N96" i="4" s="1"/>
  <c r="H95" i="4"/>
  <c r="I95" i="4" s="1"/>
  <c r="N95" i="4" s="1"/>
  <c r="H94" i="4"/>
  <c r="I94" i="4" s="1"/>
  <c r="N94" i="4" s="1"/>
  <c r="H93" i="4"/>
  <c r="I93" i="4" s="1"/>
  <c r="N93" i="4" s="1"/>
  <c r="H92" i="4"/>
  <c r="I92" i="4" s="1"/>
  <c r="N92" i="4" s="1"/>
  <c r="H91" i="4"/>
  <c r="I91" i="4" s="1"/>
  <c r="N91" i="4" s="1"/>
  <c r="H90" i="4"/>
  <c r="I90" i="4" s="1"/>
  <c r="N90" i="4" s="1"/>
  <c r="H89" i="4"/>
  <c r="I89" i="4" s="1"/>
  <c r="N89" i="4" s="1"/>
  <c r="H88" i="4"/>
  <c r="I88" i="4" s="1"/>
  <c r="N88" i="4" s="1"/>
  <c r="H87" i="4"/>
  <c r="I87" i="4" s="1"/>
  <c r="N87" i="4" s="1"/>
  <c r="H86" i="4"/>
  <c r="I86" i="4" s="1"/>
  <c r="N86" i="4" s="1"/>
  <c r="H85" i="4"/>
  <c r="I85" i="4" s="1"/>
  <c r="N85" i="4" s="1"/>
  <c r="H84" i="4"/>
  <c r="I84" i="4" s="1"/>
  <c r="N84" i="4" s="1"/>
  <c r="H83" i="4"/>
  <c r="I83" i="4" s="1"/>
  <c r="N83" i="4" s="1"/>
  <c r="H82" i="4"/>
  <c r="I82" i="4" s="1"/>
  <c r="N82" i="4" s="1"/>
  <c r="H81" i="4"/>
  <c r="I81" i="4" s="1"/>
  <c r="N81" i="4" s="1"/>
  <c r="H80" i="4"/>
  <c r="I80" i="4" s="1"/>
  <c r="N80" i="4" s="1"/>
  <c r="H79" i="4"/>
  <c r="I79" i="4" s="1"/>
  <c r="N79" i="4" s="1"/>
  <c r="H78" i="4"/>
  <c r="I78" i="4" s="1"/>
  <c r="N78" i="4" s="1"/>
  <c r="H77" i="4"/>
  <c r="I77" i="4" s="1"/>
  <c r="N77" i="4" s="1"/>
  <c r="H76" i="4"/>
  <c r="I76" i="4" s="1"/>
  <c r="N76" i="4" s="1"/>
  <c r="H75" i="4"/>
  <c r="I75" i="4" s="1"/>
  <c r="N75" i="4" s="1"/>
  <c r="H74" i="4"/>
  <c r="I74" i="4" s="1"/>
  <c r="N74" i="4" s="1"/>
  <c r="I73" i="4"/>
  <c r="N73" i="4" s="1"/>
  <c r="I72" i="4"/>
  <c r="N72" i="4" s="1"/>
  <c r="I71" i="4"/>
  <c r="N71" i="4" s="1"/>
  <c r="I70" i="4"/>
  <c r="N70" i="4" s="1"/>
  <c r="I69" i="4"/>
  <c r="N69" i="4" s="1"/>
  <c r="I68" i="4"/>
  <c r="N68" i="4" s="1"/>
  <c r="I67" i="4"/>
  <c r="N67" i="4" s="1"/>
  <c r="I66" i="4"/>
  <c r="N66" i="4" s="1"/>
  <c r="I65" i="4"/>
  <c r="N65" i="4" s="1"/>
  <c r="I64" i="4"/>
  <c r="N64" i="4" s="1"/>
  <c r="I63" i="4"/>
  <c r="N63" i="4" s="1"/>
  <c r="I62" i="4"/>
  <c r="N62" i="4" s="1"/>
  <c r="I61" i="4"/>
  <c r="N61" i="4" s="1"/>
  <c r="I60" i="4"/>
  <c r="N60" i="4" s="1"/>
  <c r="I59" i="4"/>
  <c r="N59" i="4" s="1"/>
  <c r="I58" i="4"/>
  <c r="N58" i="4" s="1"/>
  <c r="I57" i="4"/>
  <c r="N57" i="4" s="1"/>
  <c r="I56" i="4"/>
  <c r="N56" i="4" s="1"/>
  <c r="I55" i="4"/>
  <c r="N55" i="4" s="1"/>
  <c r="I54" i="4"/>
  <c r="N54" i="4" s="1"/>
  <c r="I53" i="4"/>
  <c r="N53" i="4" s="1"/>
  <c r="I52" i="4"/>
  <c r="N52" i="4" s="1"/>
  <c r="I51" i="4"/>
  <c r="N51" i="4" s="1"/>
  <c r="I50" i="4"/>
  <c r="N50" i="4" s="1"/>
  <c r="I49" i="4"/>
  <c r="N49" i="4" s="1"/>
  <c r="I48" i="4"/>
  <c r="N48" i="4" s="1"/>
  <c r="I47" i="4"/>
  <c r="N47" i="4" s="1"/>
  <c r="I46" i="4"/>
  <c r="N46" i="4" s="1"/>
  <c r="I45" i="4"/>
  <c r="N45" i="4" s="1"/>
  <c r="I44" i="4"/>
  <c r="N44" i="4" s="1"/>
  <c r="I43" i="4"/>
  <c r="N43" i="4" s="1"/>
  <c r="I42" i="4"/>
  <c r="N42" i="4" s="1"/>
  <c r="I41" i="4"/>
  <c r="N41" i="4" s="1"/>
  <c r="I40" i="4"/>
  <c r="N40" i="4" s="1"/>
  <c r="I39" i="4"/>
  <c r="N39" i="4" s="1"/>
  <c r="I38" i="4"/>
  <c r="N38" i="4" s="1"/>
  <c r="I37" i="4"/>
  <c r="N37" i="4" s="1"/>
  <c r="I36" i="4"/>
  <c r="N36" i="4" s="1"/>
  <c r="I35" i="4"/>
  <c r="N35" i="4" s="1"/>
  <c r="I34" i="4"/>
  <c r="N34" i="4" s="1"/>
  <c r="I33" i="4"/>
  <c r="N33" i="4" s="1"/>
  <c r="I32" i="4"/>
  <c r="N32" i="4" s="1"/>
  <c r="I31" i="4"/>
  <c r="N31" i="4" s="1"/>
  <c r="I30" i="4"/>
  <c r="N30" i="4" s="1"/>
  <c r="I29" i="4"/>
  <c r="N29" i="4" s="1"/>
  <c r="I28" i="4"/>
  <c r="N28" i="4" s="1"/>
  <c r="I27" i="4"/>
  <c r="N27" i="4" s="1"/>
  <c r="I26" i="4"/>
  <c r="N26" i="4" s="1"/>
  <c r="I25" i="4"/>
  <c r="N25" i="4" s="1"/>
  <c r="I24" i="4"/>
  <c r="N24" i="4" s="1"/>
  <c r="I23" i="4"/>
  <c r="N23" i="4" s="1"/>
  <c r="I22" i="4"/>
  <c r="N22" i="4" s="1"/>
  <c r="I21" i="4"/>
  <c r="N21" i="4" s="1"/>
  <c r="I20" i="4"/>
  <c r="N20" i="4" s="1"/>
  <c r="I19" i="4"/>
  <c r="N19" i="4" s="1"/>
  <c r="I18" i="4"/>
  <c r="N18" i="4" s="1"/>
  <c r="I17" i="4"/>
  <c r="N17" i="4" s="1"/>
  <c r="I16" i="4"/>
  <c r="N16" i="4" s="1"/>
  <c r="I15" i="4"/>
  <c r="N15" i="4" s="1"/>
  <c r="I14" i="4"/>
  <c r="N14" i="4" s="1"/>
  <c r="I13" i="4"/>
  <c r="N13" i="4" s="1"/>
  <c r="I12" i="4"/>
  <c r="N12" i="4" s="1"/>
  <c r="I11" i="4"/>
  <c r="N11" i="4" s="1"/>
  <c r="I10" i="4"/>
  <c r="N10" i="4" s="1"/>
  <c r="I9" i="4"/>
  <c r="N9" i="4" s="1"/>
  <c r="I8" i="4"/>
  <c r="N8" i="4" s="1"/>
  <c r="I7" i="4"/>
  <c r="N7" i="4" s="1"/>
  <c r="I6" i="4"/>
  <c r="N6" i="4" s="1"/>
  <c r="I5" i="4"/>
  <c r="N5" i="4" s="1"/>
  <c r="I4" i="4"/>
  <c r="N4" i="4" s="1"/>
  <c r="I3" i="4"/>
  <c r="N3" i="4" s="1"/>
  <c r="I2" i="4"/>
  <c r="N2" i="4" s="1"/>
  <c r="C41" i="1" l="1"/>
  <c r="D41" i="1"/>
  <c r="E41" i="1"/>
  <c r="F41" i="1"/>
  <c r="G41" i="1"/>
  <c r="H41" i="1"/>
  <c r="I41" i="1"/>
  <c r="J41" i="1"/>
  <c r="K41" i="1"/>
  <c r="L41" i="1"/>
  <c r="M41" i="1"/>
  <c r="N41" i="1"/>
  <c r="R41" i="1"/>
  <c r="S41" i="1"/>
  <c r="T41" i="1"/>
  <c r="U41" i="1"/>
  <c r="V41" i="1"/>
  <c r="W41" i="1"/>
  <c r="X41" i="1"/>
  <c r="Y41" i="1"/>
  <c r="Z41" i="1"/>
  <c r="AA41" i="1"/>
  <c r="AB41" i="1"/>
  <c r="AC41" i="1"/>
  <c r="C42" i="1"/>
  <c r="D42" i="1"/>
  <c r="E42" i="1"/>
  <c r="F42" i="1"/>
  <c r="G42" i="1"/>
  <c r="H42" i="1"/>
  <c r="I42" i="1"/>
  <c r="J42" i="1"/>
  <c r="K42" i="1"/>
  <c r="L42" i="1"/>
  <c r="M42" i="1"/>
  <c r="N42" i="1"/>
  <c r="R42" i="1"/>
  <c r="S42" i="1"/>
  <c r="T42" i="1"/>
  <c r="U42" i="1"/>
  <c r="V42" i="1"/>
  <c r="W42" i="1"/>
  <c r="X42" i="1"/>
  <c r="Y42" i="1"/>
  <c r="Z42" i="1"/>
  <c r="AA42" i="1"/>
  <c r="AB42" i="1"/>
  <c r="AC42" i="1"/>
  <c r="C43" i="1"/>
  <c r="D43" i="1"/>
  <c r="E43" i="1"/>
  <c r="F43" i="1"/>
  <c r="G43" i="1"/>
  <c r="H43" i="1"/>
  <c r="I43" i="1"/>
  <c r="J43" i="1"/>
  <c r="K43" i="1"/>
  <c r="L43" i="1"/>
  <c r="M43" i="1"/>
  <c r="N43" i="1"/>
  <c r="R43" i="1"/>
  <c r="S43" i="1"/>
  <c r="T43" i="1"/>
  <c r="U43" i="1"/>
  <c r="V43" i="1"/>
  <c r="W43" i="1"/>
  <c r="X43" i="1"/>
  <c r="Y43" i="1"/>
  <c r="Z43" i="1"/>
  <c r="AA43" i="1"/>
  <c r="AB43" i="1"/>
  <c r="AC43" i="1"/>
  <c r="C44" i="1"/>
  <c r="D44" i="1"/>
  <c r="E44" i="1"/>
  <c r="F44" i="1"/>
  <c r="G44" i="1"/>
  <c r="H44" i="1"/>
  <c r="I44" i="1"/>
  <c r="J44" i="1"/>
  <c r="K44" i="1"/>
  <c r="L44" i="1"/>
  <c r="M44" i="1"/>
  <c r="N44" i="1"/>
  <c r="R44" i="1"/>
  <c r="S44" i="1"/>
  <c r="T44" i="1"/>
  <c r="U44" i="1"/>
  <c r="V44" i="1"/>
  <c r="W44" i="1"/>
  <c r="X44" i="1"/>
  <c r="Y44" i="1"/>
  <c r="Z44" i="1"/>
  <c r="AA44" i="1"/>
  <c r="AB44" i="1"/>
  <c r="AC44" i="1"/>
  <c r="C45" i="1"/>
  <c r="D45" i="1"/>
  <c r="E45" i="1"/>
  <c r="F45" i="1"/>
  <c r="G45" i="1"/>
  <c r="H45" i="1"/>
  <c r="I45" i="1"/>
  <c r="J45" i="1"/>
  <c r="K45" i="1"/>
  <c r="L45" i="1"/>
  <c r="M45" i="1"/>
  <c r="N45" i="1"/>
  <c r="R45" i="1"/>
  <c r="S45" i="1"/>
  <c r="T45" i="1"/>
  <c r="U45" i="1"/>
  <c r="V45" i="1"/>
  <c r="W45" i="1"/>
  <c r="X45" i="1"/>
  <c r="Y45" i="1"/>
  <c r="Z45" i="1"/>
  <c r="AA45" i="1"/>
  <c r="AB45" i="1"/>
  <c r="AC45" i="1"/>
  <c r="C46" i="1"/>
  <c r="D46" i="1"/>
  <c r="E46" i="1"/>
  <c r="F46" i="1"/>
  <c r="G46" i="1"/>
  <c r="H46" i="1"/>
  <c r="I46" i="1"/>
  <c r="J46" i="1"/>
  <c r="K46" i="1"/>
  <c r="L46" i="1"/>
  <c r="M46" i="1"/>
  <c r="N46" i="1"/>
  <c r="R46" i="1"/>
  <c r="S46" i="1"/>
  <c r="T46" i="1"/>
  <c r="U46" i="1"/>
  <c r="V46" i="1"/>
  <c r="W46" i="1"/>
  <c r="X46" i="1"/>
  <c r="Y46" i="1"/>
  <c r="Z46" i="1"/>
  <c r="AA46" i="1"/>
  <c r="AB46" i="1"/>
  <c r="AC46" i="1"/>
  <c r="C47" i="1"/>
  <c r="D47" i="1"/>
  <c r="E47" i="1"/>
  <c r="F47" i="1"/>
  <c r="G47" i="1"/>
  <c r="H47" i="1"/>
  <c r="I47" i="1"/>
  <c r="J47" i="1"/>
  <c r="K47" i="1"/>
  <c r="L47" i="1"/>
  <c r="M47" i="1"/>
  <c r="N47" i="1"/>
  <c r="R47" i="1"/>
  <c r="S47" i="1"/>
  <c r="T47" i="1"/>
  <c r="U47" i="1"/>
  <c r="V47" i="1"/>
  <c r="W47" i="1"/>
  <c r="X47" i="1"/>
  <c r="Y47" i="1"/>
  <c r="Z47" i="1"/>
  <c r="AA47" i="1"/>
  <c r="AB47" i="1"/>
  <c r="AC47" i="1"/>
  <c r="C48" i="1"/>
  <c r="D48" i="1"/>
  <c r="E48" i="1"/>
  <c r="F48" i="1"/>
  <c r="G48" i="1"/>
  <c r="H48" i="1"/>
  <c r="I48" i="1"/>
  <c r="J48" i="1"/>
  <c r="K48" i="1"/>
  <c r="L48" i="1"/>
  <c r="M48" i="1"/>
  <c r="N48" i="1"/>
  <c r="R48" i="1"/>
  <c r="S48" i="1"/>
  <c r="T48" i="1"/>
  <c r="U48" i="1"/>
  <c r="V48" i="1"/>
  <c r="W48" i="1"/>
  <c r="X48" i="1"/>
  <c r="Y48" i="1"/>
  <c r="Z48" i="1"/>
  <c r="AA48" i="1"/>
  <c r="AB48" i="1"/>
  <c r="AC48" i="1"/>
  <c r="C49" i="1"/>
  <c r="D49" i="1"/>
  <c r="E49" i="1"/>
  <c r="F49" i="1"/>
  <c r="G49" i="1"/>
  <c r="H49" i="1"/>
  <c r="I49" i="1"/>
  <c r="J49" i="1"/>
  <c r="K49" i="1"/>
  <c r="L49" i="1"/>
  <c r="M49" i="1"/>
  <c r="N49" i="1"/>
  <c r="R49" i="1"/>
  <c r="S49" i="1"/>
  <c r="T49" i="1"/>
  <c r="U49" i="1"/>
  <c r="V49" i="1"/>
  <c r="W49" i="1"/>
  <c r="X49" i="1"/>
  <c r="Y49" i="1"/>
  <c r="Z49" i="1"/>
  <c r="AA49" i="1"/>
  <c r="AB49" i="1"/>
  <c r="AC49" i="1"/>
  <c r="C50" i="1"/>
  <c r="D50" i="1"/>
  <c r="E50" i="1"/>
  <c r="F50" i="1"/>
  <c r="G50" i="1"/>
  <c r="H50" i="1"/>
  <c r="I50" i="1"/>
  <c r="J50" i="1"/>
  <c r="K50" i="1"/>
  <c r="L50" i="1"/>
  <c r="M50" i="1"/>
  <c r="N50" i="1"/>
  <c r="R50" i="1"/>
  <c r="S50" i="1"/>
  <c r="T50" i="1"/>
  <c r="U50" i="1"/>
  <c r="V50" i="1"/>
  <c r="W50" i="1"/>
  <c r="X50" i="1"/>
  <c r="Y50" i="1"/>
  <c r="Z50" i="1"/>
  <c r="AA50" i="1"/>
  <c r="AB50" i="1"/>
  <c r="AC50" i="1"/>
  <c r="C51" i="1"/>
  <c r="D51" i="1"/>
  <c r="E51" i="1"/>
  <c r="F51" i="1"/>
  <c r="G51" i="1"/>
  <c r="H51" i="1"/>
  <c r="I51" i="1"/>
  <c r="J51" i="1"/>
  <c r="K51" i="1"/>
  <c r="L51" i="1"/>
  <c r="M51" i="1"/>
  <c r="N51" i="1"/>
  <c r="R51" i="1"/>
  <c r="S51" i="1"/>
  <c r="T51" i="1"/>
  <c r="U51" i="1"/>
  <c r="V51" i="1"/>
  <c r="W51" i="1"/>
  <c r="X51" i="1"/>
  <c r="Y51" i="1"/>
  <c r="Z51" i="1"/>
  <c r="AA51" i="1"/>
  <c r="AB51" i="1"/>
  <c r="AC51" i="1"/>
  <c r="C52" i="1"/>
  <c r="D52" i="1"/>
  <c r="E52" i="1"/>
  <c r="F52" i="1"/>
  <c r="G52" i="1"/>
  <c r="H52" i="1"/>
  <c r="I52" i="1"/>
  <c r="J52" i="1"/>
  <c r="K52" i="1"/>
  <c r="L52" i="1"/>
  <c r="M52" i="1"/>
  <c r="N52" i="1"/>
  <c r="R52" i="1"/>
  <c r="S52" i="1"/>
  <c r="T52" i="1"/>
  <c r="U52" i="1"/>
  <c r="V52" i="1"/>
  <c r="W52" i="1"/>
  <c r="X52" i="1"/>
  <c r="Y52" i="1"/>
  <c r="Z52" i="1"/>
  <c r="AA52" i="1"/>
  <c r="AB52" i="1"/>
  <c r="AC52" i="1"/>
  <c r="C53" i="1"/>
  <c r="D53" i="1"/>
  <c r="E53" i="1"/>
  <c r="F53" i="1"/>
  <c r="G53" i="1"/>
  <c r="H53" i="1"/>
  <c r="I53" i="1"/>
  <c r="J53" i="1"/>
  <c r="K53" i="1"/>
  <c r="L53" i="1"/>
  <c r="M53" i="1"/>
  <c r="N53" i="1"/>
  <c r="C54" i="1"/>
  <c r="D54" i="1"/>
  <c r="E54" i="1"/>
  <c r="F54" i="1"/>
  <c r="G54" i="1"/>
  <c r="H54" i="1"/>
  <c r="I54" i="1"/>
  <c r="J54" i="1"/>
  <c r="K54" i="1"/>
  <c r="L54" i="1"/>
  <c r="M54" i="1"/>
  <c r="N54" i="1"/>
  <c r="C55" i="1"/>
  <c r="D55" i="1"/>
  <c r="E55" i="1"/>
  <c r="F55" i="1"/>
  <c r="G55" i="1"/>
  <c r="H55" i="1"/>
  <c r="I55" i="1"/>
  <c r="J55" i="1"/>
  <c r="K55" i="1"/>
  <c r="L55" i="1"/>
  <c r="M55" i="1"/>
  <c r="N55" i="1"/>
  <c r="C56" i="1"/>
  <c r="D56" i="1"/>
  <c r="E56" i="1"/>
  <c r="F56" i="1"/>
  <c r="G56" i="1"/>
  <c r="H56" i="1"/>
  <c r="I56" i="1"/>
  <c r="J56" i="1"/>
  <c r="K56" i="1"/>
  <c r="L56" i="1"/>
  <c r="M56" i="1"/>
  <c r="N56" i="1"/>
  <c r="C57" i="1"/>
  <c r="D57" i="1"/>
  <c r="E57" i="1"/>
  <c r="F57" i="1"/>
  <c r="G57" i="1"/>
  <c r="H57" i="1"/>
  <c r="I57" i="1"/>
  <c r="J57" i="1"/>
  <c r="K57" i="1"/>
  <c r="L57" i="1"/>
  <c r="M57" i="1"/>
  <c r="N57" i="1"/>
  <c r="C58" i="1"/>
  <c r="D58" i="1"/>
  <c r="E58" i="1"/>
  <c r="F58" i="1"/>
  <c r="G58" i="1"/>
  <c r="H58" i="1"/>
  <c r="I58" i="1"/>
  <c r="J58" i="1"/>
  <c r="K58" i="1"/>
  <c r="L58" i="1"/>
  <c r="M58" i="1"/>
  <c r="N58" i="1"/>
  <c r="C59" i="1"/>
  <c r="D59" i="1"/>
  <c r="E59" i="1"/>
  <c r="F59" i="1"/>
  <c r="G59" i="1"/>
  <c r="H59" i="1"/>
  <c r="I59" i="1"/>
  <c r="J59" i="1"/>
  <c r="K59" i="1"/>
  <c r="L59" i="1"/>
  <c r="M59" i="1"/>
  <c r="N59" i="1"/>
  <c r="C60" i="1"/>
  <c r="D60" i="1"/>
  <c r="E60" i="1"/>
  <c r="F60" i="1"/>
  <c r="G60" i="1"/>
  <c r="H60" i="1"/>
  <c r="I60" i="1"/>
  <c r="J60" i="1"/>
  <c r="K60" i="1"/>
  <c r="L60" i="1"/>
  <c r="M60" i="1"/>
  <c r="N60" i="1"/>
  <c r="C61" i="1"/>
  <c r="D61" i="1"/>
  <c r="E61" i="1"/>
  <c r="F61" i="1"/>
  <c r="G61" i="1"/>
  <c r="H61" i="1"/>
  <c r="I61" i="1"/>
  <c r="J61" i="1"/>
  <c r="K61" i="1"/>
  <c r="L61" i="1"/>
  <c r="M61" i="1"/>
  <c r="N61" i="1"/>
  <c r="C62" i="1"/>
  <c r="D62" i="1"/>
  <c r="E62" i="1"/>
  <c r="F62" i="1"/>
  <c r="G62" i="1"/>
  <c r="H62" i="1"/>
  <c r="I62" i="1"/>
  <c r="J62" i="1"/>
  <c r="K62" i="1"/>
  <c r="L62" i="1"/>
  <c r="M62" i="1"/>
  <c r="N62" i="1"/>
  <c r="C63" i="1"/>
  <c r="D63" i="1"/>
  <c r="E63" i="1"/>
  <c r="F63" i="1"/>
  <c r="G63" i="1"/>
  <c r="H63" i="1"/>
  <c r="I63" i="1"/>
  <c r="J63" i="1"/>
  <c r="K63" i="1"/>
  <c r="L63" i="1"/>
  <c r="M63" i="1"/>
  <c r="N63" i="1"/>
  <c r="C70" i="1"/>
  <c r="D70" i="1"/>
  <c r="E70" i="1"/>
  <c r="F70" i="1"/>
  <c r="G70" i="1"/>
  <c r="H70" i="1"/>
  <c r="I70" i="1"/>
  <c r="J70" i="1"/>
  <c r="K70" i="1"/>
  <c r="L70" i="1"/>
  <c r="M70" i="1"/>
  <c r="N70" i="1"/>
  <c r="R70" i="1"/>
  <c r="S70" i="1"/>
  <c r="T70" i="1"/>
  <c r="U70" i="1"/>
  <c r="V70" i="1"/>
  <c r="W70" i="1"/>
  <c r="X70" i="1"/>
  <c r="Y70" i="1"/>
  <c r="Z70" i="1"/>
  <c r="AA70" i="1"/>
  <c r="AB70" i="1"/>
  <c r="AC70" i="1"/>
  <c r="C71" i="1"/>
  <c r="D71" i="1"/>
  <c r="E71" i="1"/>
  <c r="F71" i="1"/>
  <c r="G71" i="1"/>
  <c r="H71" i="1"/>
  <c r="I71" i="1"/>
  <c r="J71" i="1"/>
  <c r="K71" i="1"/>
  <c r="L71" i="1"/>
  <c r="M71" i="1"/>
  <c r="N71" i="1"/>
  <c r="R71" i="1"/>
  <c r="S71" i="1"/>
  <c r="T71" i="1"/>
  <c r="U71" i="1"/>
  <c r="V71" i="1"/>
  <c r="W71" i="1"/>
  <c r="X71" i="1"/>
  <c r="Y71" i="1"/>
  <c r="Z71" i="1"/>
  <c r="AA71" i="1"/>
  <c r="AB71" i="1"/>
  <c r="AC71" i="1"/>
  <c r="C72" i="1"/>
  <c r="D72" i="1"/>
  <c r="E72" i="1"/>
  <c r="F72" i="1"/>
  <c r="G72" i="1"/>
  <c r="H72" i="1"/>
  <c r="I72" i="1"/>
  <c r="J72" i="1"/>
  <c r="K72" i="1"/>
  <c r="L72" i="1"/>
  <c r="M72" i="1"/>
  <c r="N72" i="1"/>
  <c r="R72" i="1"/>
  <c r="S72" i="1"/>
  <c r="T72" i="1"/>
  <c r="U72" i="1"/>
  <c r="V72" i="1"/>
  <c r="W72" i="1"/>
  <c r="X72" i="1"/>
  <c r="Y72" i="1"/>
  <c r="Z72" i="1"/>
  <c r="AA72" i="1"/>
  <c r="AB72" i="1"/>
  <c r="AC72" i="1"/>
  <c r="C73" i="1"/>
  <c r="D73" i="1"/>
  <c r="E73" i="1"/>
  <c r="F73" i="1"/>
  <c r="G73" i="1"/>
  <c r="H73" i="1"/>
  <c r="I73" i="1"/>
  <c r="J73" i="1"/>
  <c r="K73" i="1"/>
  <c r="L73" i="1"/>
  <c r="M73" i="1"/>
  <c r="N73" i="1"/>
  <c r="R73" i="1"/>
  <c r="S73" i="1"/>
  <c r="T73" i="1"/>
  <c r="U73" i="1"/>
  <c r="V73" i="1"/>
  <c r="W73" i="1"/>
  <c r="X73" i="1"/>
  <c r="Y73" i="1"/>
  <c r="Z73" i="1"/>
  <c r="AA73" i="1"/>
  <c r="AB73" i="1"/>
  <c r="AC73" i="1"/>
  <c r="C74" i="1"/>
  <c r="D74" i="1"/>
  <c r="E74" i="1"/>
  <c r="F74" i="1"/>
  <c r="G74" i="1"/>
  <c r="H74" i="1"/>
  <c r="I74" i="1"/>
  <c r="J74" i="1"/>
  <c r="K74" i="1"/>
  <c r="L74" i="1"/>
  <c r="M74" i="1"/>
  <c r="N74" i="1"/>
  <c r="R74" i="1"/>
  <c r="S74" i="1"/>
  <c r="T74" i="1"/>
  <c r="U74" i="1"/>
  <c r="V74" i="1"/>
  <c r="W74" i="1"/>
  <c r="X74" i="1"/>
  <c r="Y74" i="1"/>
  <c r="Z74" i="1"/>
  <c r="AA74" i="1"/>
  <c r="AB74" i="1"/>
  <c r="AC74" i="1"/>
  <c r="C75" i="1"/>
  <c r="D75" i="1"/>
  <c r="E75" i="1"/>
  <c r="F75" i="1"/>
  <c r="G75" i="1"/>
  <c r="H75" i="1"/>
  <c r="I75" i="1"/>
  <c r="J75" i="1"/>
  <c r="K75" i="1"/>
  <c r="L75" i="1"/>
  <c r="M75" i="1"/>
  <c r="N75" i="1"/>
  <c r="R75" i="1"/>
  <c r="S75" i="1"/>
  <c r="T75" i="1"/>
  <c r="U75" i="1"/>
  <c r="V75" i="1"/>
  <c r="W75" i="1"/>
  <c r="X75" i="1"/>
  <c r="Y75" i="1"/>
  <c r="Z75" i="1"/>
  <c r="AA75" i="1"/>
  <c r="AB75" i="1"/>
  <c r="AC75" i="1"/>
  <c r="C76" i="1"/>
  <c r="D76" i="1"/>
  <c r="E76" i="1"/>
  <c r="F76" i="1"/>
  <c r="G76" i="1"/>
  <c r="H76" i="1"/>
  <c r="I76" i="1"/>
  <c r="J76" i="1"/>
  <c r="K76" i="1"/>
  <c r="L76" i="1"/>
  <c r="M76" i="1"/>
  <c r="N76" i="1"/>
  <c r="R76" i="1"/>
  <c r="S76" i="1"/>
  <c r="T76" i="1"/>
  <c r="U76" i="1"/>
  <c r="V76" i="1"/>
  <c r="W76" i="1"/>
  <c r="X76" i="1"/>
  <c r="Y76" i="1"/>
  <c r="Z76" i="1"/>
  <c r="AA76" i="1"/>
  <c r="AB76" i="1"/>
  <c r="AC76" i="1"/>
  <c r="C77" i="1"/>
  <c r="D77" i="1"/>
  <c r="E77" i="1"/>
  <c r="F77" i="1"/>
  <c r="G77" i="1"/>
  <c r="H77" i="1"/>
  <c r="I77" i="1"/>
  <c r="J77" i="1"/>
  <c r="K77" i="1"/>
  <c r="L77" i="1"/>
  <c r="M77" i="1"/>
  <c r="N77" i="1"/>
  <c r="R77" i="1"/>
  <c r="S77" i="1"/>
  <c r="T77" i="1"/>
  <c r="U77" i="1"/>
  <c r="V77" i="1"/>
  <c r="W77" i="1"/>
  <c r="X77" i="1"/>
  <c r="Y77" i="1"/>
  <c r="Z77" i="1"/>
  <c r="AA77" i="1"/>
  <c r="AB77" i="1"/>
  <c r="AC77" i="1"/>
  <c r="C78" i="1"/>
  <c r="D78" i="1"/>
  <c r="E78" i="1"/>
  <c r="F78" i="1"/>
  <c r="G78" i="1"/>
  <c r="H78" i="1"/>
  <c r="I78" i="1"/>
  <c r="J78" i="1"/>
  <c r="K78" i="1"/>
  <c r="L78" i="1"/>
  <c r="M78" i="1"/>
  <c r="N78" i="1"/>
  <c r="R78" i="1"/>
  <c r="S78" i="1"/>
  <c r="T78" i="1"/>
  <c r="U78" i="1"/>
  <c r="V78" i="1"/>
  <c r="W78" i="1"/>
  <c r="X78" i="1"/>
  <c r="Y78" i="1"/>
  <c r="Z78" i="1"/>
  <c r="AA78" i="1"/>
  <c r="AB78" i="1"/>
  <c r="AC78" i="1"/>
  <c r="C79" i="1"/>
  <c r="D79" i="1"/>
  <c r="E79" i="1"/>
  <c r="F79" i="1"/>
  <c r="G79" i="1"/>
  <c r="H79" i="1"/>
  <c r="I79" i="1"/>
  <c r="J79" i="1"/>
  <c r="K79" i="1"/>
  <c r="L79" i="1"/>
  <c r="M79" i="1"/>
  <c r="N79" i="1"/>
  <c r="R79" i="1"/>
  <c r="S79" i="1"/>
  <c r="T79" i="1"/>
  <c r="U79" i="1"/>
  <c r="V79" i="1"/>
  <c r="W79" i="1"/>
  <c r="X79" i="1"/>
  <c r="Y79" i="1"/>
  <c r="Z79" i="1"/>
  <c r="AA79" i="1"/>
  <c r="AB79" i="1"/>
  <c r="AC79" i="1"/>
  <c r="C80" i="1"/>
  <c r="D80" i="1"/>
  <c r="E80" i="1"/>
  <c r="F80" i="1"/>
  <c r="G80" i="1"/>
  <c r="H80" i="1"/>
  <c r="I80" i="1"/>
  <c r="J80" i="1"/>
  <c r="K80" i="1"/>
  <c r="L80" i="1"/>
  <c r="M80" i="1"/>
  <c r="N80" i="1"/>
  <c r="R80" i="1"/>
  <c r="S80" i="1"/>
  <c r="T80" i="1"/>
  <c r="U80" i="1"/>
  <c r="V80" i="1"/>
  <c r="W80" i="1"/>
  <c r="X80" i="1"/>
  <c r="Y80" i="1"/>
  <c r="Z80" i="1"/>
  <c r="AA80" i="1"/>
  <c r="AB80" i="1"/>
  <c r="AC80" i="1"/>
  <c r="C81" i="1"/>
  <c r="D81" i="1"/>
  <c r="E81" i="1"/>
  <c r="F81" i="1"/>
  <c r="G81" i="1"/>
  <c r="H81" i="1"/>
  <c r="I81" i="1"/>
  <c r="J81" i="1"/>
  <c r="K81" i="1"/>
  <c r="L81" i="1"/>
  <c r="M81" i="1"/>
  <c r="N81" i="1"/>
  <c r="R81" i="1"/>
  <c r="S81" i="1"/>
  <c r="T81" i="1"/>
  <c r="U81" i="1"/>
  <c r="V81" i="1"/>
  <c r="W81" i="1"/>
  <c r="X81" i="1"/>
  <c r="Y81" i="1"/>
  <c r="Z81" i="1"/>
  <c r="AA81" i="1"/>
  <c r="AB81" i="1"/>
  <c r="AC81" i="1"/>
  <c r="C82" i="1"/>
  <c r="D82" i="1"/>
  <c r="E82" i="1"/>
  <c r="F82" i="1"/>
  <c r="G82" i="1"/>
  <c r="H82" i="1"/>
  <c r="I82" i="1"/>
  <c r="J82" i="1"/>
  <c r="K82" i="1"/>
  <c r="L82" i="1"/>
  <c r="M82" i="1"/>
  <c r="N82" i="1"/>
  <c r="C83" i="1"/>
  <c r="D83" i="1"/>
  <c r="E83" i="1"/>
  <c r="F83" i="1"/>
  <c r="G83" i="1"/>
  <c r="H83" i="1"/>
  <c r="I83" i="1"/>
  <c r="J83" i="1"/>
  <c r="K83" i="1"/>
  <c r="L83" i="1"/>
  <c r="M83" i="1"/>
  <c r="N83" i="1"/>
  <c r="C84" i="1"/>
  <c r="D84" i="1"/>
  <c r="E84" i="1"/>
  <c r="F84" i="1"/>
  <c r="G84" i="1"/>
  <c r="H84" i="1"/>
  <c r="I84" i="1"/>
  <c r="J84" i="1"/>
  <c r="K84" i="1"/>
  <c r="L84" i="1"/>
  <c r="M84" i="1"/>
  <c r="N84" i="1"/>
  <c r="C85" i="1"/>
  <c r="D85" i="1"/>
  <c r="E85" i="1"/>
  <c r="F85" i="1"/>
  <c r="G85" i="1"/>
  <c r="H85" i="1"/>
  <c r="I85" i="1"/>
  <c r="J85" i="1"/>
  <c r="K85" i="1"/>
  <c r="L85" i="1"/>
  <c r="M85" i="1"/>
  <c r="N85" i="1"/>
  <c r="C86" i="1"/>
  <c r="D86" i="1"/>
  <c r="E86" i="1"/>
  <c r="F86" i="1"/>
  <c r="G86" i="1"/>
  <c r="H86" i="1"/>
  <c r="I86" i="1"/>
  <c r="J86" i="1"/>
  <c r="K86" i="1"/>
  <c r="L86" i="1"/>
  <c r="M86" i="1"/>
  <c r="N86" i="1"/>
  <c r="C87" i="1"/>
  <c r="D87" i="1"/>
  <c r="E87" i="1"/>
  <c r="F87" i="1"/>
  <c r="G87" i="1"/>
  <c r="H87" i="1"/>
  <c r="I87" i="1"/>
  <c r="J87" i="1"/>
  <c r="K87" i="1"/>
  <c r="L87" i="1"/>
  <c r="M87" i="1"/>
  <c r="N87" i="1"/>
  <c r="C88" i="1"/>
  <c r="D88" i="1"/>
  <c r="E88" i="1"/>
  <c r="F88" i="1"/>
  <c r="G88" i="1"/>
  <c r="H88" i="1"/>
  <c r="I88" i="1"/>
  <c r="J88" i="1"/>
  <c r="K88" i="1"/>
  <c r="L88" i="1"/>
  <c r="M88" i="1"/>
  <c r="N88" i="1"/>
  <c r="C89" i="1"/>
  <c r="D89" i="1"/>
  <c r="E89" i="1"/>
  <c r="F89" i="1"/>
  <c r="G89" i="1"/>
  <c r="H89" i="1"/>
  <c r="I89" i="1"/>
  <c r="J89" i="1"/>
  <c r="K89" i="1"/>
  <c r="L89" i="1"/>
  <c r="M89" i="1"/>
  <c r="N89" i="1"/>
  <c r="C90" i="1"/>
  <c r="D90" i="1"/>
  <c r="E90" i="1"/>
  <c r="F90" i="1"/>
  <c r="G90" i="1"/>
  <c r="H90" i="1"/>
  <c r="I90" i="1"/>
  <c r="J90" i="1"/>
  <c r="K90" i="1"/>
  <c r="L90" i="1"/>
  <c r="M90" i="1"/>
  <c r="N90" i="1"/>
  <c r="C91" i="1"/>
  <c r="D91" i="1"/>
  <c r="E91" i="1"/>
  <c r="F91" i="1"/>
  <c r="G91" i="1"/>
  <c r="H91" i="1"/>
  <c r="I91" i="1"/>
  <c r="J91" i="1"/>
  <c r="K91" i="1"/>
  <c r="L91" i="1"/>
  <c r="M91" i="1"/>
  <c r="N91" i="1"/>
  <c r="C92" i="1"/>
  <c r="D92" i="1"/>
  <c r="E92" i="1"/>
  <c r="F92" i="1"/>
  <c r="G92" i="1"/>
  <c r="H92" i="1"/>
  <c r="I92" i="1"/>
  <c r="J92" i="1"/>
  <c r="K92" i="1"/>
  <c r="L92" i="1"/>
  <c r="M92" i="1"/>
  <c r="N92" i="1"/>
  <c r="C99" i="1"/>
  <c r="D99" i="1"/>
  <c r="E99" i="1"/>
  <c r="F99" i="1"/>
  <c r="G99" i="1"/>
  <c r="H99" i="1"/>
  <c r="I99" i="1"/>
  <c r="J99" i="1"/>
  <c r="K99" i="1"/>
  <c r="L99" i="1"/>
  <c r="M99" i="1"/>
  <c r="N99" i="1"/>
  <c r="R99" i="1"/>
  <c r="S99" i="1"/>
  <c r="T99" i="1"/>
  <c r="U99" i="1"/>
  <c r="V99" i="1"/>
  <c r="W99" i="1"/>
  <c r="X99" i="1"/>
  <c r="Y99" i="1"/>
  <c r="Z99" i="1"/>
  <c r="AA99" i="1"/>
  <c r="AB99" i="1"/>
  <c r="AC99" i="1"/>
  <c r="C100" i="1"/>
  <c r="D100" i="1"/>
  <c r="E100" i="1"/>
  <c r="F100" i="1"/>
  <c r="G100" i="1"/>
  <c r="H100" i="1"/>
  <c r="I100" i="1"/>
  <c r="J100" i="1"/>
  <c r="K100" i="1"/>
  <c r="L100" i="1"/>
  <c r="M100" i="1"/>
  <c r="N100" i="1"/>
  <c r="R100" i="1"/>
  <c r="S100" i="1"/>
  <c r="T100" i="1"/>
  <c r="U100" i="1"/>
  <c r="V100" i="1"/>
  <c r="W100" i="1"/>
  <c r="X100" i="1"/>
  <c r="Y100" i="1"/>
  <c r="Z100" i="1"/>
  <c r="AA100" i="1"/>
  <c r="AB100" i="1"/>
  <c r="AC100" i="1"/>
  <c r="C101" i="1"/>
  <c r="D101" i="1"/>
  <c r="E101" i="1"/>
  <c r="F101" i="1"/>
  <c r="G101" i="1"/>
  <c r="H101" i="1"/>
  <c r="I101" i="1"/>
  <c r="J101" i="1"/>
  <c r="K101" i="1"/>
  <c r="L101" i="1"/>
  <c r="M101" i="1"/>
  <c r="N101" i="1"/>
  <c r="R101" i="1"/>
  <c r="S101" i="1"/>
  <c r="T101" i="1"/>
  <c r="U101" i="1"/>
  <c r="V101" i="1"/>
  <c r="W101" i="1"/>
  <c r="X101" i="1"/>
  <c r="Y101" i="1"/>
  <c r="Z101" i="1"/>
  <c r="AA101" i="1"/>
  <c r="AB101" i="1"/>
  <c r="AC101" i="1"/>
  <c r="C102" i="1"/>
  <c r="D102" i="1"/>
  <c r="E102" i="1"/>
  <c r="F102" i="1"/>
  <c r="G102" i="1"/>
  <c r="H102" i="1"/>
  <c r="I102" i="1"/>
  <c r="J102" i="1"/>
  <c r="K102" i="1"/>
  <c r="L102" i="1"/>
  <c r="M102" i="1"/>
  <c r="N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C103" i="1"/>
  <c r="D103" i="1"/>
  <c r="E103" i="1"/>
  <c r="F103" i="1"/>
  <c r="G103" i="1"/>
  <c r="H103" i="1"/>
  <c r="I103" i="1"/>
  <c r="J103" i="1"/>
  <c r="K103" i="1"/>
  <c r="L103" i="1"/>
  <c r="M103" i="1"/>
  <c r="N103" i="1"/>
  <c r="R103" i="1"/>
  <c r="S103" i="1"/>
  <c r="T103" i="1"/>
  <c r="U103" i="1"/>
  <c r="V103" i="1"/>
  <c r="W103" i="1"/>
  <c r="X103" i="1"/>
  <c r="Y103" i="1"/>
  <c r="Z103" i="1"/>
  <c r="AA103" i="1"/>
  <c r="AB103" i="1"/>
  <c r="AC103" i="1"/>
  <c r="C104" i="1"/>
  <c r="D104" i="1"/>
  <c r="E104" i="1"/>
  <c r="F104" i="1"/>
  <c r="G104" i="1"/>
  <c r="H104" i="1"/>
  <c r="I104" i="1"/>
  <c r="J104" i="1"/>
  <c r="K104" i="1"/>
  <c r="L104" i="1"/>
  <c r="M104" i="1"/>
  <c r="N104" i="1"/>
  <c r="R104" i="1"/>
  <c r="S104" i="1"/>
  <c r="T104" i="1"/>
  <c r="U104" i="1"/>
  <c r="V104" i="1"/>
  <c r="W104" i="1"/>
  <c r="X104" i="1"/>
  <c r="Y104" i="1"/>
  <c r="Z104" i="1"/>
  <c r="AA104" i="1"/>
  <c r="AB104" i="1"/>
  <c r="AC104" i="1"/>
  <c r="C105" i="1"/>
  <c r="D105" i="1"/>
  <c r="E105" i="1"/>
  <c r="F105" i="1"/>
  <c r="G105" i="1"/>
  <c r="H105" i="1"/>
  <c r="I105" i="1"/>
  <c r="J105" i="1"/>
  <c r="K105" i="1"/>
  <c r="L105" i="1"/>
  <c r="M105" i="1"/>
  <c r="N105" i="1"/>
  <c r="R105" i="1"/>
  <c r="S105" i="1"/>
  <c r="T105" i="1"/>
  <c r="U105" i="1"/>
  <c r="V105" i="1"/>
  <c r="W105" i="1"/>
  <c r="X105" i="1"/>
  <c r="Y105" i="1"/>
  <c r="Z105" i="1"/>
  <c r="AA105" i="1"/>
  <c r="AB105" i="1"/>
  <c r="AC105" i="1"/>
  <c r="C106" i="1"/>
  <c r="D106" i="1"/>
  <c r="E106" i="1"/>
  <c r="F106" i="1"/>
  <c r="G106" i="1"/>
  <c r="H106" i="1"/>
  <c r="I106" i="1"/>
  <c r="J106" i="1"/>
  <c r="K106" i="1"/>
  <c r="L106" i="1"/>
  <c r="M106" i="1"/>
  <c r="N106" i="1"/>
  <c r="R106" i="1"/>
  <c r="S106" i="1"/>
  <c r="T106" i="1"/>
  <c r="U106" i="1"/>
  <c r="V106" i="1"/>
  <c r="W106" i="1"/>
  <c r="X106" i="1"/>
  <c r="Y106" i="1"/>
  <c r="Z106" i="1"/>
  <c r="AA106" i="1"/>
  <c r="AB106" i="1"/>
  <c r="AC106" i="1"/>
  <c r="C107" i="1"/>
  <c r="D107" i="1"/>
  <c r="E107" i="1"/>
  <c r="F107" i="1"/>
  <c r="G107" i="1"/>
  <c r="H107" i="1"/>
  <c r="I107" i="1"/>
  <c r="J107" i="1"/>
  <c r="K107" i="1"/>
  <c r="L107" i="1"/>
  <c r="M107" i="1"/>
  <c r="N107" i="1"/>
  <c r="R107" i="1"/>
  <c r="S107" i="1"/>
  <c r="T107" i="1"/>
  <c r="U107" i="1"/>
  <c r="V107" i="1"/>
  <c r="W107" i="1"/>
  <c r="X107" i="1"/>
  <c r="Y107" i="1"/>
  <c r="Z107" i="1"/>
  <c r="AA107" i="1"/>
  <c r="AB107" i="1"/>
  <c r="AC107" i="1"/>
  <c r="C108" i="1"/>
  <c r="D108" i="1"/>
  <c r="E108" i="1"/>
  <c r="F108" i="1"/>
  <c r="G108" i="1"/>
  <c r="H108" i="1"/>
  <c r="I108" i="1"/>
  <c r="J108" i="1"/>
  <c r="K108" i="1"/>
  <c r="L108" i="1"/>
  <c r="M108" i="1"/>
  <c r="N108" i="1"/>
  <c r="R108" i="1"/>
  <c r="S108" i="1"/>
  <c r="T108" i="1"/>
  <c r="U108" i="1"/>
  <c r="V108" i="1"/>
  <c r="W108" i="1"/>
  <c r="X108" i="1"/>
  <c r="Y108" i="1"/>
  <c r="Z108" i="1"/>
  <c r="AA108" i="1"/>
  <c r="AB108" i="1"/>
  <c r="AC108" i="1"/>
  <c r="C109" i="1"/>
  <c r="D109" i="1"/>
  <c r="E109" i="1"/>
  <c r="F109" i="1"/>
  <c r="G109" i="1"/>
  <c r="H109" i="1"/>
  <c r="I109" i="1"/>
  <c r="J109" i="1"/>
  <c r="K109" i="1"/>
  <c r="L109" i="1"/>
  <c r="M109" i="1"/>
  <c r="N109" i="1"/>
  <c r="R109" i="1"/>
  <c r="S109" i="1"/>
  <c r="T109" i="1"/>
  <c r="U109" i="1"/>
  <c r="V109" i="1"/>
  <c r="W109" i="1"/>
  <c r="X109" i="1"/>
  <c r="Y109" i="1"/>
  <c r="Z109" i="1"/>
  <c r="AA109" i="1"/>
  <c r="AB109" i="1"/>
  <c r="AC109" i="1"/>
  <c r="C110" i="1"/>
  <c r="D110" i="1"/>
  <c r="E110" i="1"/>
  <c r="F110" i="1"/>
  <c r="G110" i="1"/>
  <c r="H110" i="1"/>
  <c r="I110" i="1"/>
  <c r="J110" i="1"/>
  <c r="K110" i="1"/>
  <c r="L110" i="1"/>
  <c r="M110" i="1"/>
  <c r="N110" i="1"/>
  <c r="R110" i="1"/>
  <c r="S110" i="1"/>
  <c r="T110" i="1"/>
  <c r="U110" i="1"/>
  <c r="V110" i="1"/>
  <c r="W110" i="1"/>
  <c r="X110" i="1"/>
  <c r="Y110" i="1"/>
  <c r="Z110" i="1"/>
  <c r="AA110" i="1"/>
  <c r="AB110" i="1"/>
  <c r="AC110" i="1"/>
  <c r="C111" i="1"/>
  <c r="D111" i="1"/>
  <c r="E111" i="1"/>
  <c r="F111" i="1"/>
  <c r="G111" i="1"/>
  <c r="H111" i="1"/>
  <c r="I111" i="1"/>
  <c r="J111" i="1"/>
  <c r="K111" i="1"/>
  <c r="L111" i="1"/>
  <c r="M111" i="1"/>
  <c r="N111" i="1"/>
  <c r="C112" i="1"/>
  <c r="D112" i="1"/>
  <c r="E112" i="1"/>
  <c r="F112" i="1"/>
  <c r="G112" i="1"/>
  <c r="H112" i="1"/>
  <c r="I112" i="1"/>
  <c r="J112" i="1"/>
  <c r="K112" i="1"/>
  <c r="L112" i="1"/>
  <c r="M112" i="1"/>
  <c r="N112" i="1"/>
  <c r="C113" i="1"/>
  <c r="D113" i="1"/>
  <c r="E113" i="1"/>
  <c r="F113" i="1"/>
  <c r="G113" i="1"/>
  <c r="H113" i="1"/>
  <c r="I113" i="1"/>
  <c r="J113" i="1"/>
  <c r="K113" i="1"/>
  <c r="L113" i="1"/>
  <c r="M113" i="1"/>
  <c r="N113" i="1"/>
  <c r="C114" i="1"/>
  <c r="D114" i="1"/>
  <c r="E114" i="1"/>
  <c r="F114" i="1"/>
  <c r="G114" i="1"/>
  <c r="H114" i="1"/>
  <c r="I114" i="1"/>
  <c r="J114" i="1"/>
  <c r="K114" i="1"/>
  <c r="L114" i="1"/>
  <c r="M114" i="1"/>
  <c r="N114" i="1"/>
  <c r="C115" i="1"/>
  <c r="D115" i="1"/>
  <c r="E115" i="1"/>
  <c r="F115" i="1"/>
  <c r="G115" i="1"/>
  <c r="H115" i="1"/>
  <c r="I115" i="1"/>
  <c r="J115" i="1"/>
  <c r="K115" i="1"/>
  <c r="L115" i="1"/>
  <c r="M115" i="1"/>
  <c r="N115" i="1"/>
  <c r="C116" i="1"/>
  <c r="D116" i="1"/>
  <c r="E116" i="1"/>
  <c r="F116" i="1"/>
  <c r="G116" i="1"/>
  <c r="H116" i="1"/>
  <c r="I116" i="1"/>
  <c r="J116" i="1"/>
  <c r="K116" i="1"/>
  <c r="L116" i="1"/>
  <c r="M116" i="1"/>
  <c r="N116" i="1"/>
  <c r="C117" i="1"/>
  <c r="D117" i="1"/>
  <c r="E117" i="1"/>
  <c r="F117" i="1"/>
  <c r="G117" i="1"/>
  <c r="H117" i="1"/>
  <c r="I117" i="1"/>
  <c r="J117" i="1"/>
  <c r="K117" i="1"/>
  <c r="L117" i="1"/>
  <c r="M117" i="1"/>
  <c r="N117" i="1"/>
  <c r="C118" i="1"/>
  <c r="D118" i="1"/>
  <c r="E118" i="1"/>
  <c r="F118" i="1"/>
  <c r="G118" i="1"/>
  <c r="H118" i="1"/>
  <c r="I118" i="1"/>
  <c r="J118" i="1"/>
  <c r="K118" i="1"/>
  <c r="L118" i="1"/>
  <c r="M118" i="1"/>
  <c r="N118" i="1"/>
  <c r="C119" i="1"/>
  <c r="D119" i="1"/>
  <c r="E119" i="1"/>
  <c r="F119" i="1"/>
  <c r="G119" i="1"/>
  <c r="H119" i="1"/>
  <c r="I119" i="1"/>
  <c r="J119" i="1"/>
  <c r="K119" i="1"/>
  <c r="L119" i="1"/>
  <c r="M119" i="1"/>
  <c r="N119" i="1"/>
  <c r="C120" i="1"/>
  <c r="D120" i="1"/>
  <c r="E120" i="1"/>
  <c r="F120" i="1"/>
  <c r="G120" i="1"/>
  <c r="H120" i="1"/>
  <c r="I120" i="1"/>
  <c r="J120" i="1"/>
  <c r="K120" i="1"/>
  <c r="L120" i="1"/>
  <c r="M120" i="1"/>
  <c r="N120" i="1"/>
  <c r="C121" i="1"/>
  <c r="D121" i="1"/>
  <c r="E121" i="1"/>
  <c r="F121" i="1"/>
  <c r="G121" i="1"/>
  <c r="H121" i="1"/>
  <c r="I121" i="1"/>
  <c r="J121" i="1"/>
  <c r="K121" i="1"/>
  <c r="L121" i="1"/>
  <c r="M121" i="1"/>
  <c r="N121" i="1"/>
</calcChain>
</file>

<file path=xl/sharedStrings.xml><?xml version="1.0" encoding="utf-8"?>
<sst xmlns="http://schemas.openxmlformats.org/spreadsheetml/2006/main" count="631" uniqueCount="304">
  <si>
    <t>V</t>
  </si>
  <si>
    <t>g</t>
  </si>
  <si>
    <t>KV</t>
  </si>
  <si>
    <t>电压/V</t>
  </si>
  <si>
    <t>桨叶</t>
  </si>
  <si>
    <t>电流/A</t>
  </si>
  <si>
    <t>输入功率/W</t>
  </si>
  <si>
    <t>桨叶功率/W</t>
  </si>
  <si>
    <t>推力/gf</t>
  </si>
  <si>
    <t>转速/rpm</t>
  </si>
  <si>
    <t>11500KV</t>
  </si>
  <si>
    <t>致盈</t>
  </si>
  <si>
    <t>GTS V2</t>
  </si>
  <si>
    <t>6000KV</t>
  </si>
  <si>
    <t>1s</t>
  </si>
  <si>
    <t>GF 65R</t>
  </si>
  <si>
    <t>GTS V3</t>
  </si>
  <si>
    <t>2s</t>
  </si>
  <si>
    <t>HQ T65R</t>
  </si>
  <si>
    <t>HQ T3*2R</t>
  </si>
  <si>
    <t>GF3108</t>
  </si>
  <si>
    <t>8000KV</t>
  </si>
  <si>
    <t>3s</t>
  </si>
  <si>
    <t>GF2020*4</t>
  </si>
  <si>
    <t>GF2521*3</t>
  </si>
  <si>
    <t>4s</t>
  </si>
  <si>
    <t>GF2040*3</t>
  </si>
  <si>
    <t>丰云</t>
  </si>
  <si>
    <t>SIRIUS</t>
  </si>
  <si>
    <t>GF 63*3</t>
  </si>
  <si>
    <t>GF3016*3</t>
  </si>
  <si>
    <t>GF2036*4</t>
  </si>
  <si>
    <t>GF2540*3</t>
  </si>
  <si>
    <t>5500KV</t>
  </si>
  <si>
    <t>GF2540</t>
  </si>
  <si>
    <t>SPARKHOBBY</t>
  </si>
  <si>
    <t>HQ3*2*2</t>
  </si>
  <si>
    <t>3800KV</t>
  </si>
  <si>
    <t>6s</t>
  </si>
  <si>
    <t>HQ3*2.5*3</t>
  </si>
  <si>
    <t>2500KV</t>
  </si>
  <si>
    <t>5s</t>
  </si>
  <si>
    <t>4500KV</t>
  </si>
  <si>
    <t>化骨龙</t>
  </si>
  <si>
    <t>Aeolus</t>
  </si>
  <si>
    <t>GF3016*2</t>
  </si>
  <si>
    <t>3850KV</t>
  </si>
  <si>
    <t>SmooX Plus</t>
  </si>
  <si>
    <t>2750KV</t>
  </si>
  <si>
    <t>4600KV</t>
  </si>
  <si>
    <t>LANNRC</t>
  </si>
  <si>
    <t>火山口</t>
  </si>
  <si>
    <t>2850KV</t>
  </si>
  <si>
    <t>哈模</t>
  </si>
  <si>
    <t>铠</t>
  </si>
  <si>
    <t>2300KV</t>
  </si>
  <si>
    <t>3500KV</t>
  </si>
  <si>
    <t>2400KV</t>
  </si>
  <si>
    <t>GEMFAN</t>
  </si>
  <si>
    <t>型号</t>
  </si>
  <si>
    <t>叶数</t>
  </si>
  <si>
    <t>螺距/in</t>
  </si>
  <si>
    <t>桨盘直径/mm</t>
  </si>
  <si>
    <t>HQProp</t>
  </si>
  <si>
    <t>T3*1.8*3</t>
  </si>
  <si>
    <t>别称</t>
  </si>
  <si>
    <t>电机</t>
  </si>
  <si>
    <t>螺旋桨</t>
  </si>
  <si>
    <t>航电功率</t>
  </si>
  <si>
    <t>空机重量</t>
  </si>
  <si>
    <t>电池 p 数</t>
  </si>
  <si>
    <t>电池 s 数</t>
  </si>
  <si>
    <t>空机重量/g（不含电池、电机、桨叶）</t>
  </si>
  <si>
    <t>续航/min</t>
  </si>
  <si>
    <t>我应该塞多少电池？给定电池 p 数=</t>
  </si>
  <si>
    <t>我应该塞多少电池？给定空机重量/g=</t>
  </si>
  <si>
    <t>容量/mAh</t>
  </si>
  <si>
    <t>单节电压</t>
  </si>
  <si>
    <t>单节重量</t>
  </si>
  <si>
    <t>mAh</t>
  </si>
  <si>
    <t>s 数</t>
  </si>
  <si>
    <t>p 数</t>
  </si>
  <si>
    <t>W</t>
  </si>
  <si>
    <t>参数</t>
  </si>
  <si>
    <t>符号</t>
  </si>
  <si>
    <t>数值</t>
  </si>
  <si>
    <t>单位</t>
  </si>
  <si>
    <t>单节容量</t>
  </si>
  <si>
    <t>电池组</t>
  </si>
  <si>
    <t>s</t>
  </si>
  <si>
    <t>p</t>
  </si>
  <si>
    <t>mbatt</t>
  </si>
  <si>
    <t>Ubatt</t>
  </si>
  <si>
    <t>Qbatt</t>
  </si>
  <si>
    <t>不用填</t>
  </si>
  <si>
    <t>其他</t>
  </si>
  <si>
    <t>误差</t>
  </si>
  <si>
    <t>ε</t>
  </si>
  <si>
    <t>Pequip</t>
  </si>
  <si>
    <t>mequip</t>
  </si>
  <si>
    <t>65mm</t>
  </si>
  <si>
    <t>T65R</t>
  </si>
  <si>
    <t>65mm*3</t>
  </si>
  <si>
    <t>T65mm</t>
  </si>
  <si>
    <t>Ultralight 65mm</t>
  </si>
  <si>
    <t>Micro Prop 65mm</t>
  </si>
  <si>
    <t>T3*2</t>
  </si>
  <si>
    <t>T3*2*3</t>
  </si>
  <si>
    <t>T3*2R，T3*2*2</t>
  </si>
  <si>
    <t>fM</t>
  </si>
  <si>
    <t>悬停效率 fM</t>
  </si>
  <si>
    <t>桨盘直径</t>
  </si>
  <si>
    <t>重量</t>
  </si>
  <si>
    <t>悬停效率</t>
  </si>
  <si>
    <t>D</t>
  </si>
  <si>
    <t>mprop</t>
  </si>
  <si>
    <t>mm</t>
  </si>
  <si>
    <t>相间内阻/mΩ</t>
  </si>
  <si>
    <t>相间内阻</t>
  </si>
  <si>
    <t>Rpp</t>
  </si>
  <si>
    <t>单节内阻</t>
  </si>
  <si>
    <t>Rbatt</t>
  </si>
  <si>
    <t>mΩ</t>
  </si>
  <si>
    <t>备注</t>
  </si>
  <si>
    <t>全极耳</t>
  </si>
  <si>
    <t>厂家</t>
  </si>
  <si>
    <t>规格</t>
  </si>
  <si>
    <t>内阻/mΩ</t>
  </si>
  <si>
    <t>重量/g</t>
  </si>
  <si>
    <t>最大电流/A</t>
  </si>
  <si>
    <t>最大功率/W</t>
  </si>
  <si>
    <t>mmotor</t>
  </si>
  <si>
    <t>电量保留</t>
  </si>
  <si>
    <t>creserved</t>
  </si>
  <si>
    <t>Pprop</t>
  </si>
  <si>
    <t>电池包总内阻压降</t>
  </si>
  <si>
    <t>输出 0 说明 mamba out 坠机了</t>
  </si>
  <si>
    <t>有几个值会跳，舍弃</t>
  </si>
  <si>
    <t>续航时间</t>
  </si>
  <si>
    <t>KV 匹配</t>
  </si>
  <si>
    <t>可以先去数据验证表格里看看厂家怎么配的电机和桨叶，不过那种一般都是花飞，远航要另外配置</t>
  </si>
  <si>
    <t>采样电阻</t>
  </si>
  <si>
    <t>远东福斯特</t>
  </si>
  <si>
    <t>睿恩新能源</t>
  </si>
  <si>
    <t>INR21700-RH60</t>
  </si>
  <si>
    <t>蓝鸟</t>
  </si>
  <si>
    <t>1404 PLUS</t>
  </si>
  <si>
    <t>GF4024</t>
  </si>
  <si>
    <t>65R，65mm*2</t>
  </si>
  <si>
    <t>Rcinpower</t>
  </si>
  <si>
    <t>又作3850KV</t>
  </si>
  <si>
    <t>GF2.5*4*3</t>
  </si>
  <si>
    <t>HQ3*3*3</t>
  </si>
  <si>
    <t>GF4*2*2</t>
  </si>
  <si>
    <t>GF3108，GF3016*2</t>
  </si>
  <si>
    <t>GF4024*2，GF4*2*2</t>
  </si>
  <si>
    <t>GF2540*3，GF2.5*4*3</t>
  </si>
  <si>
    <t>GF2521，GF2520*3</t>
  </si>
  <si>
    <t>T3*2.5*3</t>
  </si>
  <si>
    <t>T3*3*3</t>
  </si>
  <si>
    <t>3*3*3</t>
  </si>
  <si>
    <t>3*3*3GR-Avata 2</t>
  </si>
  <si>
    <t>拟合fM有问题</t>
  </si>
  <si>
    <t>数据作废</t>
  </si>
  <si>
    <t>螺距</t>
  </si>
  <si>
    <t>H</t>
  </si>
  <si>
    <t>inch</t>
  </si>
  <si>
    <t>单节电压下限</t>
  </si>
  <si>
    <t>其实草稿区列表的数值都是跟着正式区走的，要改范围在正式区改就行了</t>
  </si>
  <si>
    <t>单节电流上限</t>
  </si>
  <si>
    <t>A</t>
  </si>
  <si>
    <t>#NUM!</t>
  </si>
  <si>
    <t>电池电流超过设定上限</t>
  </si>
  <si>
    <t>SC2210 16:9</t>
  </si>
  <si>
    <t>SC130GS 5:4</t>
  </si>
  <si>
    <t>SC035HGS 4:3</t>
  </si>
  <si>
    <t>IMX385 16:9</t>
  </si>
  <si>
    <t>SC1336 16:9</t>
  </si>
  <si>
    <t>SC031GS 4:3</t>
  </si>
  <si>
    <t>SC235HGS 4:3</t>
  </si>
  <si>
    <t>SC135HGS 5:4</t>
  </si>
  <si>
    <t>GC0328 4:3</t>
  </si>
  <si>
    <t>GC0308 4:3</t>
  </si>
  <si>
    <t>OV2710 16:9</t>
  </si>
  <si>
    <t>SC233HGS 16:10</t>
  </si>
  <si>
    <t>AR0234 16:10</t>
  </si>
  <si>
    <t>OV9281 16:10</t>
  </si>
  <si>
    <t>AR0144 16:10</t>
  </si>
  <si>
    <t>SC038HGS 4:3</t>
  </si>
  <si>
    <t>SC230AI 16:9</t>
  </si>
  <si>
    <t>IMX327 16:9</t>
  </si>
  <si>
    <t>IMX290 16:9</t>
  </si>
  <si>
    <t>SC450AI 16:9</t>
  </si>
  <si>
    <t>IMX291 16:9</t>
  </si>
  <si>
    <t>IMX464 16:9</t>
  </si>
  <si>
    <t>IMX662 16:9</t>
  </si>
  <si>
    <t>IMX347 16:9</t>
  </si>
  <si>
    <t>IMX307 16:9</t>
  </si>
  <si>
    <t>IMX568 5:4</t>
  </si>
  <si>
    <t>SC132GS 5:4</t>
  </si>
  <si>
    <t>SC3336 16:9</t>
  </si>
  <si>
    <t>GC0310 4:3</t>
  </si>
  <si>
    <t>OV2640 4:3</t>
  </si>
  <si>
    <t>GC032A 4:3</t>
  </si>
  <si>
    <t>SC530AI 16:9</t>
  </si>
  <si>
    <t>IMX678 16:9</t>
  </si>
  <si>
    <t>IMX675 16:9</t>
  </si>
  <si>
    <t>SC850SL 16:9</t>
  </si>
  <si>
    <t>IMX334 16:9</t>
  </si>
  <si>
    <t>IMX335 4:3</t>
  </si>
  <si>
    <t>SC4336P 16:9</t>
  </si>
  <si>
    <t>OV2685 4:3</t>
  </si>
  <si>
    <t>OV3640 4:3</t>
  </si>
  <si>
    <t>OV2659 4:3</t>
  </si>
  <si>
    <t>IMX317 16:9</t>
  </si>
  <si>
    <t>IMX577 4:3</t>
  </si>
  <si>
    <t>IMX477 4:3</t>
  </si>
  <si>
    <t>IMX378 16:9</t>
  </si>
  <si>
    <t>IMX715 16:9</t>
  </si>
  <si>
    <t>IMX415 4:3</t>
  </si>
  <si>
    <t>OV5695 4:3</t>
  </si>
  <si>
    <t>OV5648 4:3</t>
  </si>
  <si>
    <t>IMX362 4:3</t>
  </si>
  <si>
    <t>IMX179 4:3</t>
  </si>
  <si>
    <t>OV5647 4:3</t>
  </si>
  <si>
    <t>IMX708 16:9</t>
  </si>
  <si>
    <t>OV8865 4:3</t>
  </si>
  <si>
    <t>OV5640 4:3</t>
  </si>
  <si>
    <t>OV3660 4:3</t>
  </si>
  <si>
    <t>IMX258 4:3</t>
  </si>
  <si>
    <t>IMX214 4:3</t>
  </si>
  <si>
    <t>OV13855 4:3</t>
  </si>
  <si>
    <t>IMX219 4:3</t>
  </si>
  <si>
    <t>IMX230 4:3</t>
  </si>
  <si>
    <t>IMX298 4:3</t>
  </si>
  <si>
    <t>OV13850 4:3</t>
  </si>
  <si>
    <t>OV8858 4:3</t>
  </si>
  <si>
    <t>OV16880 4:3</t>
  </si>
  <si>
    <t>IMX576 4:3</t>
  </si>
  <si>
    <t>IMX586 4:3</t>
  </si>
  <si>
    <t>um\Mp</t>
  </si>
  <si>
    <t>对角线</t>
  </si>
  <si>
    <t>视场求解</t>
  </si>
  <si>
    <t>水平边</t>
  </si>
  <si>
    <t>垂直边</t>
  </si>
  <si>
    <t>重叠角度</t>
  </si>
  <si>
    <t>SC485SL 16:9</t>
  </si>
  <si>
    <t>GC2145 4:3</t>
  </si>
  <si>
    <t>GC2035 4:3</t>
  </si>
  <si>
    <t>GC1054 16:9</t>
  </si>
  <si>
    <t>GC05A2 4:3</t>
  </si>
  <si>
    <t>GC1084 16:9</t>
  </si>
  <si>
    <t>GC2385 4:3</t>
  </si>
  <si>
    <t>GC2093 16:9</t>
  </si>
  <si>
    <t>GC2053 16:9</t>
  </si>
  <si>
    <t>GC4653 16:9</t>
  </si>
  <si>
    <t>GC8034 4:3</t>
  </si>
  <si>
    <t>GC8613 16:9</t>
  </si>
  <si>
    <t>GC2083 16:9</t>
  </si>
  <si>
    <t>FY</t>
  </si>
  <si>
    <t>PLUS</t>
  </si>
  <si>
    <t>SmooX PLUS</t>
  </si>
  <si>
    <t>又作7500KV</t>
  </si>
  <si>
    <t>电调电阻</t>
  </si>
  <si>
    <t>Rsampling</t>
  </si>
  <si>
    <t>迭代计算过程勿动</t>
  </si>
  <si>
    <t>求fM，别问我具体意思，我也忘了</t>
  </si>
  <si>
    <t>电池太重导致方程无解</t>
  </si>
  <si>
    <t>电机电流超过设定上限</t>
  </si>
  <si>
    <t>电机功率超过设定上限</t>
  </si>
  <si>
    <t>报错提示</t>
  </si>
  <si>
    <t>推力系数</t>
  </si>
  <si>
    <t>功率系数</t>
  </si>
  <si>
    <t>Ct</t>
  </si>
  <si>
    <t>Cp</t>
  </si>
  <si>
    <t>求Ct</t>
  </si>
  <si>
    <t>HQ3018*3</t>
  </si>
  <si>
    <t>63mm*5</t>
  </si>
  <si>
    <t>D63，63*5</t>
  </si>
  <si>
    <t>D63，63*3</t>
  </si>
  <si>
    <t>63mm*3</t>
  </si>
  <si>
    <t>电机 KV 不匹配</t>
  </si>
  <si>
    <t xml:space="preserve">    batt!</t>
  </si>
  <si>
    <t xml:space="preserve">   mOC!</t>
  </si>
  <si>
    <t xml:space="preserve">    mop!</t>
  </si>
  <si>
    <t>rpm/V</t>
  </si>
  <si>
    <t>速度常数</t>
  </si>
  <si>
    <t>悬停油门下限</t>
  </si>
  <si>
    <t>悬停油门上限</t>
  </si>
  <si>
    <t>%</t>
  </si>
  <si>
    <t xml:space="preserve">   mKV!</t>
  </si>
  <si>
    <t>电机 KV 该是多少？悬停时占空比 D=</t>
  </si>
  <si>
    <t>XSPEED</t>
  </si>
  <si>
    <t>2.0 版本参数不变</t>
  </si>
  <si>
    <t>硬汉</t>
  </si>
  <si>
    <t>黑色绿色参数不变</t>
  </si>
  <si>
    <t>单电机悬停功率上限</t>
  </si>
  <si>
    <t>单电机悬停电流上限</t>
  </si>
  <si>
    <t>EMAX</t>
  </si>
  <si>
    <t>银燕</t>
  </si>
  <si>
    <t>ECOII</t>
  </si>
  <si>
    <t>GF6026*2</t>
  </si>
  <si>
    <t>T6*2.5*3</t>
  </si>
  <si>
    <t>Rescmosfet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</si>
</sst>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等线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0" fillId="2" borderId="0" xfId="0" applyFill="1" applyAlignment="1">
      <alignment horizontal="center" vertical="center"/>
    </xf>
    <xf numFmtId="0" fontId="0" fillId="3" borderId="0" xfId="0" applyFill="1"/>
    <xf numFmtId="0" fontId="0" fillId="0" borderId="0" xfId="0" quotePrefix="1"/>
    <xf numFmtId="0" fontId="0" fillId="3" borderId="0" xfId="0" applyFill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SG"/>
              <a:t>GF 65mm</a:t>
            </a:r>
            <a:endParaRPr lang="zh-SG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SG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SG"/>
                </a:p>
              </c:txPr>
            </c:trendlineLbl>
          </c:trendline>
          <c:xVal>
            <c:numRef>
              <c:f>(数据验证!$M$2:$M$5,数据验证!$M$14:$M$17,数据验证!$M$30:$M$33,数据验证!$M$42:$M$45,数据验证!$M$58:$M$61)</c:f>
              <c:numCache>
                <c:formatCode>General</c:formatCode>
                <c:ptCount val="20"/>
                <c:pt idx="0">
                  <c:v>0.31843677084350391</c:v>
                </c:pt>
                <c:pt idx="1">
                  <c:v>7.4390117062749839E-2</c:v>
                </c:pt>
                <c:pt idx="2">
                  <c:v>0.11653450857834496</c:v>
                </c:pt>
                <c:pt idx="3">
                  <c:v>2.7909042138502902E-2</c:v>
                </c:pt>
                <c:pt idx="4">
                  <c:v>0.24785472955808482</c:v>
                </c:pt>
                <c:pt idx="5">
                  <c:v>4.6796847285345063E-2</c:v>
                </c:pt>
                <c:pt idx="6">
                  <c:v>0.11453107762993704</c:v>
                </c:pt>
                <c:pt idx="7">
                  <c:v>2.7537749740428216E-2</c:v>
                </c:pt>
                <c:pt idx="8">
                  <c:v>0.25518019315016338</c:v>
                </c:pt>
                <c:pt idx="9">
                  <c:v>6.0593322192764101E-2</c:v>
                </c:pt>
                <c:pt idx="10">
                  <c:v>9.4351635805482656E-2</c:v>
                </c:pt>
                <c:pt idx="11">
                  <c:v>2.2690406585435849E-2</c:v>
                </c:pt>
                <c:pt idx="12">
                  <c:v>0.19507763123505809</c:v>
                </c:pt>
                <c:pt idx="13">
                  <c:v>3.7237069166265006E-2</c:v>
                </c:pt>
                <c:pt idx="14">
                  <c:v>9.0219822500486768E-2</c:v>
                </c:pt>
                <c:pt idx="15">
                  <c:v>2.2041516166740688E-2</c:v>
                </c:pt>
                <c:pt idx="16">
                  <c:v>0.199974836506324</c:v>
                </c:pt>
                <c:pt idx="17">
                  <c:v>3.7852550191749629E-2</c:v>
                </c:pt>
                <c:pt idx="18">
                  <c:v>9.2939905373945239E-2</c:v>
                </c:pt>
                <c:pt idx="19">
                  <c:v>2.2297315542232441E-2</c:v>
                </c:pt>
              </c:numCache>
            </c:numRef>
          </c:xVal>
          <c:yVal>
            <c:numRef>
              <c:f>(数据验证!$N$2:$N$5,数据验证!$N$14:$N$17,数据验证!$N$30:$N$33,数据验证!$N$42:$N$45,数据验证!$N$58:$N$61)</c:f>
              <c:numCache>
                <c:formatCode>General</c:formatCode>
                <c:ptCount val="20"/>
                <c:pt idx="0">
                  <c:v>0.24263231801817925</c:v>
                </c:pt>
                <c:pt idx="1">
                  <c:v>6.7300865152621528E-2</c:v>
                </c:pt>
                <c:pt idx="2">
                  <c:v>5.8746122755898106E-2</c:v>
                </c:pt>
                <c:pt idx="3">
                  <c:v>1.7076969316101535E-2</c:v>
                </c:pt>
                <c:pt idx="4">
                  <c:v>0.14137772593927828</c:v>
                </c:pt>
                <c:pt idx="5">
                  <c:v>2.7691626052281787E-2</c:v>
                </c:pt>
                <c:pt idx="6">
                  <c:v>5.3495961054940359E-2</c:v>
                </c:pt>
                <c:pt idx="7">
                  <c:v>1.5037593984962405E-2</c:v>
                </c:pt>
                <c:pt idx="8">
                  <c:v>0.21593608291945582</c:v>
                </c:pt>
                <c:pt idx="9">
                  <c:v>5.8534301100444865E-2</c:v>
                </c:pt>
                <c:pt idx="10">
                  <c:v>5.3984020729863955E-2</c:v>
                </c:pt>
                <c:pt idx="11">
                  <c:v>1.4888928592698469E-2</c:v>
                </c:pt>
                <c:pt idx="12">
                  <c:v>0.12661545493566037</c:v>
                </c:pt>
                <c:pt idx="13">
                  <c:v>2.7652664832004528E-2</c:v>
                </c:pt>
                <c:pt idx="14">
                  <c:v>4.8787318029402157E-2</c:v>
                </c:pt>
                <c:pt idx="15">
                  <c:v>1.3227763435207837E-2</c:v>
                </c:pt>
                <c:pt idx="16">
                  <c:v>0.1231527093596059</c:v>
                </c:pt>
                <c:pt idx="17">
                  <c:v>2.545824847250509E-2</c:v>
                </c:pt>
                <c:pt idx="18">
                  <c:v>4.9818660077318555E-2</c:v>
                </c:pt>
                <c:pt idx="19">
                  <c:v>1.3943112102621306E-2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DE-4E08-8C53-210E44A6E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1290208"/>
        <c:axId val="521288768"/>
      </c:scatterChart>
      <c:valAx>
        <c:axId val="521290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521288768"/>
        <c:crosses val="autoZero"/>
        <c:crossBetween val="midCat"/>
      </c:valAx>
      <c:valAx>
        <c:axId val="52128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521290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S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SG"/>
              <a:t>HQ T65mm</a:t>
            </a:r>
            <a:endParaRPr lang="zh-SG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SG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SG"/>
                </a:p>
              </c:txPr>
            </c:trendlineLbl>
          </c:trendline>
          <c:xVal>
            <c:numRef>
              <c:f>(数据验证!$M$6:$M$9,数据验证!$M$18:$M$21,数据验证!$M$34:$M$37,数据验证!$M$46:$M$49,数据验证!$M$62:$M$65)</c:f>
              <c:numCache>
                <c:formatCode>General</c:formatCode>
                <c:ptCount val="20"/>
                <c:pt idx="0">
                  <c:v>0.31843677084350391</c:v>
                </c:pt>
                <c:pt idx="1">
                  <c:v>7.2506879556886408E-2</c:v>
                </c:pt>
                <c:pt idx="2">
                  <c:v>0.11069225018468952</c:v>
                </c:pt>
                <c:pt idx="3">
                  <c:v>2.7174617521842716E-2</c:v>
                </c:pt>
                <c:pt idx="4">
                  <c:v>0.17333502309025786</c:v>
                </c:pt>
                <c:pt idx="5">
                  <c:v>3.9467746167957465E-2</c:v>
                </c:pt>
                <c:pt idx="6">
                  <c:v>0.10706317970316125</c:v>
                </c:pt>
                <c:pt idx="7">
                  <c:v>2.6471847736012039E-2</c:v>
                </c:pt>
                <c:pt idx="8">
                  <c:v>0.25518019315016338</c:v>
                </c:pt>
                <c:pt idx="9">
                  <c:v>5.8599493657758316E-2</c:v>
                </c:pt>
                <c:pt idx="10">
                  <c:v>8.8909135800744832E-2</c:v>
                </c:pt>
                <c:pt idx="11">
                  <c:v>2.2041516166740688E-2</c:v>
                </c:pt>
                <c:pt idx="12">
                  <c:v>0.13755175574700002</c:v>
                </c:pt>
                <c:pt idx="13">
                  <c:v>3.1434126417071155E-2</c:v>
                </c:pt>
                <c:pt idx="14">
                  <c:v>8.3970465246209394E-2</c:v>
                </c:pt>
                <c:pt idx="15">
                  <c:v>2.1065598668716191E-2</c:v>
                </c:pt>
                <c:pt idx="16">
                  <c:v>0.14027550392910668</c:v>
                </c:pt>
                <c:pt idx="17">
                  <c:v>3.1897524143770423E-2</c:v>
                </c:pt>
                <c:pt idx="18">
                  <c:v>8.6381009937393269E-2</c:v>
                </c:pt>
                <c:pt idx="19">
                  <c:v>2.1422974508562405E-2</c:v>
                </c:pt>
              </c:numCache>
            </c:numRef>
          </c:xVal>
          <c:yVal>
            <c:numRef>
              <c:f>(数据验证!$N$6:$N$9,数据验证!$N$18:$N$21,数据验证!$N$34:$N$37,数据验证!$N$46:$N$49,数据验证!$N$62:$N$65)</c:f>
              <c:numCache>
                <c:formatCode>General</c:formatCode>
                <c:ptCount val="20"/>
                <c:pt idx="0">
                  <c:v>0.16920903237814836</c:v>
                </c:pt>
                <c:pt idx="1">
                  <c:v>5.8477309342042545E-2</c:v>
                </c:pt>
                <c:pt idx="2">
                  <c:v>4.1243491261535287E-2</c:v>
                </c:pt>
                <c:pt idx="3">
                  <c:v>1.4417531718569781E-2</c:v>
                </c:pt>
                <c:pt idx="4">
                  <c:v>8.7956549464564507E-2</c:v>
                </c:pt>
                <c:pt idx="5">
                  <c:v>2.234537003932785E-2</c:v>
                </c:pt>
                <c:pt idx="6">
                  <c:v>3.9019822069611361E-2</c:v>
                </c:pt>
                <c:pt idx="7">
                  <c:v>1.2636314239862516E-2</c:v>
                </c:pt>
                <c:pt idx="8">
                  <c:v>0.15062509414068384</c:v>
                </c:pt>
                <c:pt idx="9">
                  <c:v>5.0314465408805034E-2</c:v>
                </c:pt>
                <c:pt idx="10">
                  <c:v>3.6524343474926044E-2</c:v>
                </c:pt>
                <c:pt idx="11">
                  <c:v>1.2457023269719467E-2</c:v>
                </c:pt>
                <c:pt idx="12">
                  <c:v>8.7931568136413507E-2</c:v>
                </c:pt>
                <c:pt idx="13">
                  <c:v>2.2685238012382963E-2</c:v>
                </c:pt>
                <c:pt idx="14">
                  <c:v>3.3567500214832E-2</c:v>
                </c:pt>
                <c:pt idx="15">
                  <c:v>1.1167709060630386E-2</c:v>
                </c:pt>
                <c:pt idx="16">
                  <c:v>8.0796328614827731E-2</c:v>
                </c:pt>
                <c:pt idx="17">
                  <c:v>2.071388327312498E-2</c:v>
                </c:pt>
                <c:pt idx="18">
                  <c:v>3.5310734463276837E-2</c:v>
                </c:pt>
                <c:pt idx="19">
                  <c:v>1.1787559880804195E-2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2E-43C3-8E91-FC5D02AA1D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7467744"/>
        <c:axId val="677468104"/>
      </c:scatterChart>
      <c:valAx>
        <c:axId val="67746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677468104"/>
        <c:crosses val="autoZero"/>
        <c:crossBetween val="midCat"/>
      </c:valAx>
      <c:valAx>
        <c:axId val="677468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67746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S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SG"/>
              <a:t>GF4024</a:t>
            </a:r>
            <a:endParaRPr lang="zh-SG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SG" alt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SG"/>
                </a:p>
              </c:txPr>
            </c:trendlineLbl>
          </c:trendline>
          <c:xVal>
            <c:numRef>
              <c:f>(数据验证!$M$311:$M$314,数据验证!$M$327:$M$328,数据验证!$M$341:$M$342)</c:f>
              <c:numCache>
                <c:formatCode>General</c:formatCode>
                <c:ptCount val="8"/>
                <c:pt idx="0">
                  <c:v>7.6761849670985247E-2</c:v>
                </c:pt>
                <c:pt idx="1">
                  <c:v>1.8789595950618881E-2</c:v>
                </c:pt>
                <c:pt idx="2">
                  <c:v>5.6356732255730846E-2</c:v>
                </c:pt>
                <c:pt idx="3">
                  <c:v>1.407716058228641E-2</c:v>
                </c:pt>
                <c:pt idx="4">
                  <c:v>8.2348045080297069E-2</c:v>
                </c:pt>
                <c:pt idx="5">
                  <c:v>2.1903853151691778E-2</c:v>
                </c:pt>
                <c:pt idx="6">
                  <c:v>0.10031540314013937</c:v>
                </c:pt>
                <c:pt idx="7">
                  <c:v>2.2091332003428939E-2</c:v>
                </c:pt>
              </c:numCache>
            </c:numRef>
          </c:xVal>
          <c:yVal>
            <c:numRef>
              <c:f>(数据验证!$N$311:$N$314,数据验证!$N$327:$N$328,数据验证!$N$341:$N$342)</c:f>
              <c:numCache>
                <c:formatCode>General</c:formatCode>
                <c:ptCount val="8"/>
                <c:pt idx="0">
                  <c:v>5.8155764399367267E-2</c:v>
                </c:pt>
                <c:pt idx="1">
                  <c:v>1.2976134941422484E-2</c:v>
                </c:pt>
                <c:pt idx="2">
                  <c:v>1.6975853545916287E-2</c:v>
                </c:pt>
                <c:pt idx="3">
                  <c:v>6.7029609659771099E-3</c:v>
                </c:pt>
                <c:pt idx="4">
                  <c:v>5.6755702174452832E-2</c:v>
                </c:pt>
                <c:pt idx="5">
                  <c:v>1.4617745943575502E-2</c:v>
                </c:pt>
                <c:pt idx="6">
                  <c:v>8.122816992933149E-2</c:v>
                </c:pt>
                <c:pt idx="7">
                  <c:v>1.5625E-2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D2-48A0-AFD4-CF83DFAFD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729776"/>
        <c:axId val="682729056"/>
      </c:scatterChart>
      <c:valAx>
        <c:axId val="682729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682729056"/>
        <c:crosses val="autoZero"/>
        <c:crossBetween val="midCat"/>
      </c:valAx>
      <c:valAx>
        <c:axId val="68272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SG"/>
          </a:p>
        </c:txPr>
        <c:crossAx val="6827297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S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376354</xdr:colOff>
      <xdr:row>1</xdr:row>
      <xdr:rowOff>87352</xdr:rowOff>
    </xdr:from>
    <xdr:to>
      <xdr:col>22</xdr:col>
      <xdr:colOff>41817</xdr:colOff>
      <xdr:row>17</xdr:row>
      <xdr:rowOff>5576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43A6DD3-297D-18CD-DBB9-C53AEFE18F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404229</xdr:colOff>
      <xdr:row>17</xdr:row>
      <xdr:rowOff>161690</xdr:rowOff>
    </xdr:from>
    <xdr:to>
      <xdr:col>22</xdr:col>
      <xdr:colOff>69692</xdr:colOff>
      <xdr:row>33</xdr:row>
      <xdr:rowOff>79915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8B477911-5F4B-C3E4-F34D-8355A13887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83820</xdr:colOff>
      <xdr:row>326</xdr:row>
      <xdr:rowOff>49530</xdr:rowOff>
    </xdr:from>
    <xdr:to>
      <xdr:col>21</xdr:col>
      <xdr:colOff>388620</xdr:colOff>
      <xdr:row>341</xdr:row>
      <xdr:rowOff>163830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BC617F58-8373-44CB-ADA3-1E4D4C4501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CF4D9-BB10-4D89-95B6-B15A02E3B754}">
  <dimension ref="A1:AC121"/>
  <sheetViews>
    <sheetView tabSelected="1" zoomScaleNormal="100" workbookViewId="0">
      <selection activeCell="C99" sqref="C99"/>
    </sheetView>
  </sheetViews>
  <sheetFormatPr defaultRowHeight="13.8" x14ac:dyDescent="0.25"/>
  <sheetData>
    <row r="1" spans="1:29" s="1" customFormat="1" x14ac:dyDescent="0.25">
      <c r="A1" s="1" t="s">
        <v>83</v>
      </c>
    </row>
    <row r="2" spans="1:29" x14ac:dyDescent="0.25">
      <c r="A2" t="s">
        <v>88</v>
      </c>
      <c r="F2" t="s">
        <v>66</v>
      </c>
      <c r="K2" t="s">
        <v>67</v>
      </c>
      <c r="P2" t="s">
        <v>95</v>
      </c>
    </row>
    <row r="3" spans="1:29" x14ac:dyDescent="0.25">
      <c r="A3" t="s">
        <v>83</v>
      </c>
      <c r="B3" t="s">
        <v>84</v>
      </c>
      <c r="C3" t="s">
        <v>85</v>
      </c>
      <c r="D3" t="s">
        <v>86</v>
      </c>
      <c r="F3" t="s">
        <v>83</v>
      </c>
      <c r="G3" t="s">
        <v>84</v>
      </c>
      <c r="H3" t="s">
        <v>85</v>
      </c>
      <c r="I3" t="s">
        <v>86</v>
      </c>
      <c r="K3" t="s">
        <v>83</v>
      </c>
      <c r="L3" t="s">
        <v>84</v>
      </c>
      <c r="M3" t="s">
        <v>85</v>
      </c>
      <c r="N3" t="s">
        <v>86</v>
      </c>
      <c r="P3" t="s">
        <v>83</v>
      </c>
      <c r="Q3" t="s">
        <v>84</v>
      </c>
      <c r="R3" t="s">
        <v>85</v>
      </c>
      <c r="S3" t="s">
        <v>86</v>
      </c>
    </row>
    <row r="4" spans="1:29" x14ac:dyDescent="0.25">
      <c r="A4" t="s">
        <v>87</v>
      </c>
      <c r="B4" t="s">
        <v>93</v>
      </c>
      <c r="C4">
        <v>5900</v>
      </c>
      <c r="D4" t="s">
        <v>79</v>
      </c>
      <c r="F4" t="s">
        <v>118</v>
      </c>
      <c r="G4" t="s">
        <v>119</v>
      </c>
      <c r="H4">
        <v>68</v>
      </c>
      <c r="I4" t="s">
        <v>122</v>
      </c>
      <c r="K4" t="s">
        <v>111</v>
      </c>
      <c r="L4" t="s">
        <v>114</v>
      </c>
      <c r="M4">
        <v>152.4</v>
      </c>
      <c r="N4" t="s">
        <v>116</v>
      </c>
      <c r="P4" t="s">
        <v>96</v>
      </c>
      <c r="Q4" t="s">
        <v>97</v>
      </c>
      <c r="R4" s="12">
        <v>15</v>
      </c>
      <c r="S4" t="s">
        <v>289</v>
      </c>
    </row>
    <row r="5" spans="1:29" x14ac:dyDescent="0.25">
      <c r="A5" t="s">
        <v>77</v>
      </c>
      <c r="B5" t="s">
        <v>92</v>
      </c>
      <c r="C5">
        <v>3.6</v>
      </c>
      <c r="D5" t="s">
        <v>0</v>
      </c>
      <c r="F5" t="s">
        <v>112</v>
      </c>
      <c r="G5" t="s">
        <v>131</v>
      </c>
      <c r="H5">
        <v>19.2</v>
      </c>
      <c r="I5" t="s">
        <v>1</v>
      </c>
      <c r="K5" t="s">
        <v>112</v>
      </c>
      <c r="L5" t="s">
        <v>115</v>
      </c>
      <c r="M5">
        <v>3.04</v>
      </c>
      <c r="N5" t="s">
        <v>1</v>
      </c>
      <c r="P5" t="s">
        <v>68</v>
      </c>
      <c r="Q5" t="s">
        <v>98</v>
      </c>
      <c r="R5" s="12">
        <v>40</v>
      </c>
      <c r="S5" t="s">
        <v>82</v>
      </c>
    </row>
    <row r="6" spans="1:29" x14ac:dyDescent="0.25">
      <c r="A6" t="s">
        <v>120</v>
      </c>
      <c r="B6" t="s">
        <v>121</v>
      </c>
      <c r="C6">
        <v>6.2</v>
      </c>
      <c r="D6" t="s">
        <v>122</v>
      </c>
      <c r="F6" t="s">
        <v>296</v>
      </c>
      <c r="H6">
        <v>150</v>
      </c>
      <c r="I6" t="s">
        <v>82</v>
      </c>
      <c r="K6" t="s">
        <v>164</v>
      </c>
      <c r="L6" t="s">
        <v>165</v>
      </c>
      <c r="M6">
        <v>2.6</v>
      </c>
      <c r="N6" t="s">
        <v>166</v>
      </c>
      <c r="P6" t="s">
        <v>69</v>
      </c>
      <c r="Q6" t="s">
        <v>99</v>
      </c>
      <c r="R6" t="s">
        <v>94</v>
      </c>
      <c r="S6" t="s">
        <v>1</v>
      </c>
    </row>
    <row r="7" spans="1:29" x14ac:dyDescent="0.25">
      <c r="A7" t="s">
        <v>78</v>
      </c>
      <c r="B7" t="s">
        <v>91</v>
      </c>
      <c r="C7">
        <v>70</v>
      </c>
      <c r="D7" t="s">
        <v>1</v>
      </c>
      <c r="F7" t="s">
        <v>297</v>
      </c>
      <c r="H7">
        <v>10</v>
      </c>
      <c r="I7" t="s">
        <v>170</v>
      </c>
      <c r="K7" t="s">
        <v>113</v>
      </c>
      <c r="L7" t="s">
        <v>109</v>
      </c>
      <c r="M7">
        <v>0.65</v>
      </c>
      <c r="P7" t="s">
        <v>287</v>
      </c>
      <c r="R7" s="12">
        <v>20</v>
      </c>
      <c r="S7" t="s">
        <v>289</v>
      </c>
    </row>
    <row r="8" spans="1:29" x14ac:dyDescent="0.25">
      <c r="A8" t="s">
        <v>80</v>
      </c>
      <c r="B8" t="s">
        <v>89</v>
      </c>
      <c r="C8" t="s">
        <v>94</v>
      </c>
      <c r="F8" t="s">
        <v>286</v>
      </c>
      <c r="G8" t="s">
        <v>2</v>
      </c>
      <c r="H8">
        <v>3000</v>
      </c>
      <c r="I8" t="s">
        <v>285</v>
      </c>
      <c r="K8" t="s">
        <v>271</v>
      </c>
      <c r="L8" t="s">
        <v>273</v>
      </c>
      <c r="M8">
        <v>0.12</v>
      </c>
      <c r="P8" t="s">
        <v>288</v>
      </c>
      <c r="R8" s="12">
        <v>30</v>
      </c>
      <c r="S8" t="s">
        <v>289</v>
      </c>
    </row>
    <row r="9" spans="1:29" x14ac:dyDescent="0.25">
      <c r="A9" t="s">
        <v>81</v>
      </c>
      <c r="B9" t="s">
        <v>90</v>
      </c>
      <c r="C9" t="s">
        <v>94</v>
      </c>
      <c r="K9" t="s">
        <v>272</v>
      </c>
      <c r="L9" t="s">
        <v>274</v>
      </c>
      <c r="M9" t="s">
        <v>94</v>
      </c>
    </row>
    <row r="10" spans="1:29" x14ac:dyDescent="0.25">
      <c r="A10" t="s">
        <v>167</v>
      </c>
      <c r="C10" s="12">
        <v>2.8</v>
      </c>
      <c r="D10" t="s">
        <v>0</v>
      </c>
      <c r="F10" t="s">
        <v>141</v>
      </c>
      <c r="G10" t="s">
        <v>264</v>
      </c>
      <c r="H10">
        <v>10</v>
      </c>
      <c r="I10" t="s">
        <v>122</v>
      </c>
    </row>
    <row r="11" spans="1:29" x14ac:dyDescent="0.25">
      <c r="A11" t="s">
        <v>169</v>
      </c>
      <c r="C11" s="12">
        <v>10</v>
      </c>
      <c r="D11" t="s">
        <v>170</v>
      </c>
      <c r="F11" t="s">
        <v>263</v>
      </c>
      <c r="G11" t="s">
        <v>303</v>
      </c>
      <c r="H11">
        <v>3</v>
      </c>
      <c r="I11" t="s">
        <v>122</v>
      </c>
    </row>
    <row r="12" spans="1:29" x14ac:dyDescent="0.25">
      <c r="A12" t="s">
        <v>132</v>
      </c>
      <c r="B12" t="s">
        <v>133</v>
      </c>
      <c r="C12" s="12">
        <v>10</v>
      </c>
      <c r="D12" t="s">
        <v>289</v>
      </c>
      <c r="F12" t="s">
        <v>140</v>
      </c>
    </row>
    <row r="14" spans="1:29" hidden="1" x14ac:dyDescent="0.25"/>
    <row r="15" spans="1:29" s="6" customFormat="1" ht="13.8" hidden="1" customHeight="1" x14ac:dyDescent="0.25">
      <c r="A15" s="14" t="s">
        <v>265</v>
      </c>
      <c r="B15" s="6" t="s">
        <v>134</v>
      </c>
      <c r="C15" s="6">
        <v>1</v>
      </c>
      <c r="D15" s="6">
        <v>2</v>
      </c>
      <c r="E15" s="6">
        <v>3</v>
      </c>
      <c r="F15" s="6">
        <v>4</v>
      </c>
      <c r="G15" s="6">
        <v>5</v>
      </c>
      <c r="H15" s="6">
        <v>6</v>
      </c>
      <c r="I15" s="6">
        <v>7</v>
      </c>
      <c r="J15" s="6">
        <v>8</v>
      </c>
      <c r="K15" s="6">
        <v>9</v>
      </c>
      <c r="L15" s="6">
        <v>10</v>
      </c>
      <c r="M15" s="6">
        <v>11</v>
      </c>
      <c r="N15" s="6">
        <v>12</v>
      </c>
      <c r="Q15" s="6" t="s">
        <v>134</v>
      </c>
      <c r="R15" s="6">
        <v>1</v>
      </c>
      <c r="S15" s="6">
        <v>2</v>
      </c>
      <c r="T15" s="6">
        <v>3</v>
      </c>
      <c r="U15" s="6">
        <v>4</v>
      </c>
      <c r="V15" s="6">
        <v>5</v>
      </c>
      <c r="W15" s="6">
        <v>6</v>
      </c>
      <c r="X15" s="6">
        <v>7</v>
      </c>
      <c r="Y15" s="6">
        <v>8</v>
      </c>
      <c r="Z15" s="6">
        <v>9</v>
      </c>
      <c r="AA15" s="6">
        <v>10</v>
      </c>
      <c r="AB15" s="6">
        <v>11</v>
      </c>
      <c r="AC15" s="6">
        <v>12</v>
      </c>
    </row>
    <row r="16" spans="1:29" s="6" customFormat="1" hidden="1" x14ac:dyDescent="0.25">
      <c r="A16" s="14"/>
      <c r="B16" s="6">
        <v>100</v>
      </c>
      <c r="C16" s="6">
        <f>(2/PI()/1.225)^(1/2)*(1000/$M$4/$M$7)*(($H$5+$M$5+(C$69*$F$67*$C$7+$B70)/4)*9.8/1000)^(3/2)</f>
        <v>5.2654738407572887</v>
      </c>
      <c r="D16" s="6">
        <f t="shared" ref="D16:N16" si="0">(2/PI()/1.225)^(1/2)*(1000/$M$4/$M$7)*(($H$5+$M$5+(D$69*$F$67*$C$7+$B70)/4)*9.8/1000)^(3/2)</f>
        <v>8.9624453742564612</v>
      </c>
      <c r="E16" s="6">
        <f t="shared" si="0"/>
        <v>13.26190675196621</v>
      </c>
      <c r="F16" s="6">
        <f t="shared" si="0"/>
        <v>18.088841598013342</v>
      </c>
      <c r="G16" s="6">
        <f t="shared" si="0"/>
        <v>23.390857847103756</v>
      </c>
      <c r="H16" s="6">
        <f t="shared" si="0"/>
        <v>29.128663492347364</v>
      </c>
      <c r="I16" s="6">
        <f t="shared" si="0"/>
        <v>35.271367328122857</v>
      </c>
      <c r="J16" s="6">
        <f t="shared" si="0"/>
        <v>41.793850320527724</v>
      </c>
      <c r="K16" s="6">
        <f t="shared" si="0"/>
        <v>48.675163028640057</v>
      </c>
      <c r="L16" s="6">
        <f t="shared" si="0"/>
        <v>55.897484842359262</v>
      </c>
      <c r="M16" s="6">
        <f t="shared" si="0"/>
        <v>63.445414466944165</v>
      </c>
      <c r="N16" s="6">
        <f t="shared" si="0"/>
        <v>71.305467224909904</v>
      </c>
      <c r="Q16" s="6">
        <v>1</v>
      </c>
      <c r="R16" s="6">
        <f>SQRT(2/PI()/1.225)*(1000/$M$4/$M$7)*(($H$5+$M$5+(R$69*$Q70*$C$7+$U$67)/4)*9.8/1000)^(3/2)</f>
        <v>18.452327386999116</v>
      </c>
      <c r="S16" s="6">
        <f t="shared" ref="S16:AC16" si="1">SQRT(2/PI()/1.225)*(1000/$M$4/$M$7)*(($H$5+$M$5+(S$69*$Q70*$C$7+$U$67)/4)*9.8/1000)^(3/2)</f>
        <v>21.063143301285557</v>
      </c>
      <c r="T16" s="6">
        <f t="shared" si="1"/>
        <v>23.786654900274904</v>
      </c>
      <c r="U16" s="6">
        <f t="shared" si="1"/>
        <v>26.618378349072803</v>
      </c>
      <c r="V16" s="6">
        <f t="shared" si="1"/>
        <v>29.554326123156397</v>
      </c>
      <c r="W16" s="6">
        <f t="shared" si="1"/>
        <v>32.590921656464531</v>
      </c>
      <c r="X16" s="6">
        <f t="shared" si="1"/>
        <v>35.724933232977584</v>
      </c>
      <c r="Y16" s="6">
        <f t="shared" si="1"/>
        <v>38.953421877122985</v>
      </c>
      <c r="Z16" s="6">
        <f t="shared" si="1"/>
        <v>42.273699646726072</v>
      </c>
      <c r="AA16" s="6">
        <f t="shared" si="1"/>
        <v>45.683295801077065</v>
      </c>
      <c r="AB16" s="6">
        <f t="shared" si="1"/>
        <v>49.179929029157435</v>
      </c>
      <c r="AC16" s="6">
        <f t="shared" si="1"/>
        <v>52.761484409642271</v>
      </c>
    </row>
    <row r="17" spans="1:29" s="6" customFormat="1" hidden="1" x14ac:dyDescent="0.25">
      <c r="A17" s="14"/>
      <c r="B17" s="6">
        <v>150</v>
      </c>
      <c r="C17" s="6">
        <f t="shared" ref="C17:N17" si="2">(2/PI()/1.225)^(1/2)*(1000/$M$4/$M$7)*(($H$5+$M$5+(C$69*$F$67*$C$7+$B71)/4)*9.8/1000)^(3/2)</f>
        <v>6.5104780289050588</v>
      </c>
      <c r="D17" s="6">
        <f t="shared" si="2"/>
        <v>10.433346896883346</v>
      </c>
      <c r="E17" s="6">
        <f t="shared" si="2"/>
        <v>14.928335934314422</v>
      </c>
      <c r="F17" s="6">
        <f t="shared" si="2"/>
        <v>19.930141188971547</v>
      </c>
      <c r="G17" s="6">
        <f t="shared" si="2"/>
        <v>25.391798171080115</v>
      </c>
      <c r="H17" s="6">
        <f t="shared" si="2"/>
        <v>31.277413866394003</v>
      </c>
      <c r="I17" s="6">
        <f t="shared" si="2"/>
        <v>37.558392990052134</v>
      </c>
      <c r="J17" s="6">
        <f t="shared" si="2"/>
        <v>44.211253732434919</v>
      </c>
      <c r="K17" s="6">
        <f t="shared" si="2"/>
        <v>51.216262853918771</v>
      </c>
      <c r="L17" s="6">
        <f t="shared" si="2"/>
        <v>58.556532523156122</v>
      </c>
      <c r="M17" s="6">
        <f t="shared" si="2"/>
        <v>66.217395468195107</v>
      </c>
      <c r="N17" s="6">
        <f t="shared" si="2"/>
        <v>74.185956958482222</v>
      </c>
      <c r="Q17" s="6">
        <v>2</v>
      </c>
      <c r="R17" s="6">
        <f t="shared" ref="R17:AC17" si="3">SQRT(2/PI()/1.225)*(1000/$M$4/$M$7)*(($H$5+$M$5+(R$69*$Q71*$C$7+$U$67)/4)*9.8/1000)^(3/2)</f>
        <v>21.063143301285557</v>
      </c>
      <c r="S17" s="6">
        <f t="shared" si="3"/>
        <v>26.618378349072803</v>
      </c>
      <c r="T17" s="6">
        <f t="shared" si="3"/>
        <v>32.590921656464531</v>
      </c>
      <c r="U17" s="6">
        <f t="shared" si="3"/>
        <v>38.953421877122985</v>
      </c>
      <c r="V17" s="6">
        <f t="shared" si="3"/>
        <v>45.683295801077065</v>
      </c>
      <c r="W17" s="6">
        <f t="shared" si="3"/>
        <v>52.761484409642271</v>
      </c>
      <c r="X17" s="6">
        <f t="shared" si="3"/>
        <v>60.171621103923655</v>
      </c>
      <c r="Y17" s="6">
        <f t="shared" si="3"/>
        <v>67.899451452134372</v>
      </c>
      <c r="Z17" s="6">
        <f t="shared" si="3"/>
        <v>75.932414327117939</v>
      </c>
      <c r="AA17" s="6">
        <f t="shared" si="3"/>
        <v>84.259330908591835</v>
      </c>
      <c r="AB17" s="6">
        <f t="shared" si="3"/>
        <v>92.870168251772569</v>
      </c>
      <c r="AC17" s="6">
        <f t="shared" si="3"/>
        <v>101.75585589118883</v>
      </c>
    </row>
    <row r="18" spans="1:29" s="6" customFormat="1" hidden="1" x14ac:dyDescent="0.25">
      <c r="A18" s="14"/>
      <c r="B18" s="6">
        <v>200</v>
      </c>
      <c r="C18" s="6">
        <f t="shared" ref="C18:N18" si="4">(2/PI()/1.225)^(1/2)*(1000/$M$4/$M$7)*(($H$5+$M$5+(C$69*$F$67*$C$7+$B72)/4)*9.8/1000)^(3/2)</f>
        <v>7.8405768328328191</v>
      </c>
      <c r="D18" s="6">
        <f t="shared" si="4"/>
        <v>11.976927550191293</v>
      </c>
      <c r="E18" s="6">
        <f t="shared" si="4"/>
        <v>16.659248983774738</v>
      </c>
      <c r="F18" s="6">
        <f t="shared" si="4"/>
        <v>21.829996319526281</v>
      </c>
      <c r="G18" s="6">
        <f t="shared" si="4"/>
        <v>27.446748917135835</v>
      </c>
      <c r="H18" s="6">
        <f t="shared" si="4"/>
        <v>33.476546743788667</v>
      </c>
      <c r="I18" s="6">
        <f t="shared" si="4"/>
        <v>39.892818293186743</v>
      </c>
      <c r="J18" s="6">
        <f t="shared" si="4"/>
        <v>46.67354796165715</v>
      </c>
      <c r="K18" s="6">
        <f t="shared" si="4"/>
        <v>53.800105116190267</v>
      </c>
      <c r="L18" s="6">
        <f t="shared" si="4"/>
        <v>61.25645590206495</v>
      </c>
      <c r="M18" s="6">
        <f t="shared" si="4"/>
        <v>69.028610456759054</v>
      </c>
      <c r="N18" s="6">
        <f t="shared" si="4"/>
        <v>77.104222134702709</v>
      </c>
      <c r="Q18" s="6">
        <v>3</v>
      </c>
      <c r="R18" s="6">
        <f t="shared" ref="R18:AC18" si="5">SQRT(2/PI()/1.225)*(1000/$M$4/$M$7)*(($H$5+$M$5+(R$69*$Q72*$C$7+$U$67)/4)*9.8/1000)^(3/2)</f>
        <v>23.786654900274904</v>
      </c>
      <c r="S18" s="6">
        <f t="shared" si="5"/>
        <v>32.590921656464531</v>
      </c>
      <c r="T18" s="6">
        <f t="shared" si="5"/>
        <v>42.273699646726072</v>
      </c>
      <c r="U18" s="6">
        <f t="shared" si="5"/>
        <v>52.761484409642271</v>
      </c>
      <c r="V18" s="6">
        <f t="shared" si="5"/>
        <v>63.996645254517098</v>
      </c>
      <c r="W18" s="6">
        <f t="shared" si="5"/>
        <v>75.932414327117939</v>
      </c>
      <c r="X18" s="6">
        <f t="shared" si="5"/>
        <v>88.529847090116917</v>
      </c>
      <c r="Y18" s="6">
        <f t="shared" si="5"/>
        <v>101.75585589118883</v>
      </c>
      <c r="Z18" s="6">
        <f t="shared" si="5"/>
        <v>115.58187338914594</v>
      </c>
      <c r="AA18" s="6">
        <f t="shared" si="5"/>
        <v>129.98290785076617</v>
      </c>
      <c r="AB18" s="6">
        <f t="shared" si="5"/>
        <v>144.93685384776973</v>
      </c>
      <c r="AC18" s="6">
        <f t="shared" si="5"/>
        <v>160.42397585630488</v>
      </c>
    </row>
    <row r="19" spans="1:29" s="6" customFormat="1" hidden="1" x14ac:dyDescent="0.25">
      <c r="A19" s="14"/>
      <c r="B19" s="6">
        <v>250</v>
      </c>
      <c r="C19" s="6">
        <f t="shared" ref="C19:N19" si="6">(2/PI()/1.225)^(1/2)*(1000/$M$4/$M$7)*(($H$5+$M$5+(C$69*$F$67*$C$7+$B73)/4)*9.8/1000)^(3/2)</f>
        <v>9.2506380309672949</v>
      </c>
      <c r="D19" s="6">
        <f t="shared" si="6"/>
        <v>13.589913605103973</v>
      </c>
      <c r="E19" s="6">
        <f t="shared" si="6"/>
        <v>18.452327386999116</v>
      </c>
      <c r="F19" s="6">
        <f t="shared" si="6"/>
        <v>23.786654900274904</v>
      </c>
      <c r="G19" s="6">
        <f t="shared" si="6"/>
        <v>29.554326123156397</v>
      </c>
      <c r="H19" s="6">
        <f t="shared" si="6"/>
        <v>35.724933232977584</v>
      </c>
      <c r="I19" s="6">
        <f t="shared" si="6"/>
        <v>42.273699646726072</v>
      </c>
      <c r="J19" s="6">
        <f t="shared" si="6"/>
        <v>49.179929029157435</v>
      </c>
      <c r="K19" s="6">
        <f t="shared" si="6"/>
        <v>56.42599411380484</v>
      </c>
      <c r="L19" s="6">
        <f t="shared" si="6"/>
        <v>63.996645254517098</v>
      </c>
      <c r="M19" s="6">
        <f t="shared" si="6"/>
        <v>71.878519325132473</v>
      </c>
      <c r="N19" s="6">
        <f t="shared" si="6"/>
        <v>80.059779952922142</v>
      </c>
      <c r="Q19" s="6">
        <v>4</v>
      </c>
      <c r="R19" s="6">
        <f t="shared" ref="R19:AC19" si="7">SQRT(2/PI()/1.225)*(1000/$M$4/$M$7)*(($H$5+$M$5+(R$69*$Q73*$C$7+$U$67)/4)*9.8/1000)^(3/2)</f>
        <v>26.618378349072803</v>
      </c>
      <c r="S19" s="6">
        <f t="shared" si="7"/>
        <v>38.953421877122985</v>
      </c>
      <c r="T19" s="6">
        <f t="shared" si="7"/>
        <v>52.761484409642271</v>
      </c>
      <c r="U19" s="6">
        <f t="shared" si="7"/>
        <v>67.899451452134372</v>
      </c>
      <c r="V19" s="6">
        <f t="shared" si="7"/>
        <v>84.259330908591835</v>
      </c>
      <c r="W19" s="6">
        <f t="shared" si="7"/>
        <v>101.75585589118883</v>
      </c>
      <c r="X19" s="6">
        <f t="shared" si="7"/>
        <v>120.31947288160016</v>
      </c>
      <c r="Y19" s="6">
        <f t="shared" si="7"/>
        <v>139.89203280490202</v>
      </c>
      <c r="Z19" s="6">
        <f t="shared" si="7"/>
        <v>160.42397585630488</v>
      </c>
      <c r="AA19" s="6">
        <f t="shared" si="7"/>
        <v>181.87240327858055</v>
      </c>
      <c r="AB19" s="6">
        <f t="shared" si="7"/>
        <v>204.19970601028254</v>
      </c>
      <c r="AC19" s="6">
        <f t="shared" si="7"/>
        <v>227.3725589614383</v>
      </c>
    </row>
    <row r="20" spans="1:29" s="6" customFormat="1" hidden="1" x14ac:dyDescent="0.25">
      <c r="A20" s="14"/>
      <c r="B20" s="6">
        <v>300</v>
      </c>
      <c r="C20" s="6">
        <f t="shared" ref="C20:N20" si="8">(2/PI()/1.225)^(1/2)*(1000/$M$4/$M$7)*(($H$5+$M$5+(C$69*$F$67*$C$7+$B74)/4)*9.8/1000)^(3/2)</f>
        <v>10.736360062065197</v>
      </c>
      <c r="D20" s="6">
        <f t="shared" si="8"/>
        <v>15.269437734175542</v>
      </c>
      <c r="E20" s="6">
        <f t="shared" si="8"/>
        <v>20.305486158689209</v>
      </c>
      <c r="F20" s="6">
        <f t="shared" si="8"/>
        <v>25.798513337152691</v>
      </c>
      <c r="G20" s="6">
        <f t="shared" si="8"/>
        <v>31.713247078686432</v>
      </c>
      <c r="H20" s="6">
        <f t="shared" si="8"/>
        <v>38.021517098832277</v>
      </c>
      <c r="I20" s="6">
        <f t="shared" si="8"/>
        <v>44.70014767126122</v>
      </c>
      <c r="J20" s="6">
        <f t="shared" si="8"/>
        <v>51.729634669476269</v>
      </c>
      <c r="K20" s="6">
        <f t="shared" si="8"/>
        <v>59.093267051906423</v>
      </c>
      <c r="L20" s="6">
        <f t="shared" si="8"/>
        <v>66.776517355132199</v>
      </c>
      <c r="M20" s="6">
        <f t="shared" si="8"/>
        <v>74.766603677249421</v>
      </c>
      <c r="N20" s="6">
        <f t="shared" si="8"/>
        <v>83.05216566517781</v>
      </c>
      <c r="Q20" s="6">
        <v>5</v>
      </c>
      <c r="R20" s="6">
        <f t="shared" ref="R20:AC20" si="9">SQRT(2/PI()/1.225)*(1000/$M$4/$M$7)*(($H$5+$M$5+(R$69*$Q74*$C$7+$U$67)/4)*9.8/1000)^(3/2)</f>
        <v>29.554326123156397</v>
      </c>
      <c r="S20" s="6">
        <f t="shared" si="9"/>
        <v>45.683295801077065</v>
      </c>
      <c r="T20" s="6">
        <f t="shared" si="9"/>
        <v>63.996645254517098</v>
      </c>
      <c r="U20" s="6">
        <f t="shared" si="9"/>
        <v>84.259330908591835</v>
      </c>
      <c r="V20" s="6">
        <f t="shared" si="9"/>
        <v>106.2991609847427</v>
      </c>
      <c r="W20" s="6">
        <f t="shared" si="9"/>
        <v>129.98290785076617</v>
      </c>
      <c r="X20" s="6">
        <f t="shared" si="9"/>
        <v>155.20349336862054</v>
      </c>
      <c r="Y20" s="6">
        <f t="shared" si="9"/>
        <v>181.87240327858055</v>
      </c>
      <c r="Z20" s="6">
        <f t="shared" si="9"/>
        <v>209.91486817676494</v>
      </c>
      <c r="AA20" s="6">
        <f t="shared" si="9"/>
        <v>239.26663403547846</v>
      </c>
      <c r="AB20" s="6">
        <f t="shared" si="9"/>
        <v>269.87170526778459</v>
      </c>
      <c r="AC20" s="6">
        <f t="shared" si="9"/>
        <v>301.68071316030466</v>
      </c>
    </row>
    <row r="21" spans="1:29" s="6" customFormat="1" hidden="1" x14ac:dyDescent="0.25">
      <c r="A21" s="14"/>
      <c r="B21" s="6">
        <v>350</v>
      </c>
      <c r="C21" s="6">
        <f t="shared" ref="C21:N21" si="10">(2/PI()/1.225)^(1/2)*(1000/$M$4/$M$7)*(($H$5+$M$5+(C$69*$F$67*$C$7+$B75)/4)*9.8/1000)^(3/2)</f>
        <v>12.294069373918733</v>
      </c>
      <c r="D21" s="6">
        <f t="shared" si="10"/>
        <v>17.012961259161617</v>
      </c>
      <c r="E21" s="6">
        <f t="shared" si="10"/>
        <v>22.2168370752172</v>
      </c>
      <c r="F21" s="6">
        <f t="shared" si="10"/>
        <v>27.864096665604141</v>
      </c>
      <c r="G21" s="6">
        <f t="shared" si="10"/>
        <v>33.922318547709331</v>
      </c>
      <c r="H21" s="6">
        <f t="shared" si="10"/>
        <v>40.365307286945232</v>
      </c>
      <c r="I21" s="6">
        <f t="shared" si="10"/>
        <v>47.171322197901659</v>
      </c>
      <c r="J21" s="6">
        <f t="shared" si="10"/>
        <v>54.321940843409202</v>
      </c>
      <c r="K21" s="6">
        <f t="shared" si="10"/>
        <v>61.801291527084395</v>
      </c>
      <c r="L21" s="6">
        <f t="shared" si="10"/>
        <v>69.595513611992999</v>
      </c>
      <c r="M21" s="6">
        <f t="shared" si="10"/>
        <v>77.692365411638107</v>
      </c>
      <c r="N21" s="6">
        <f t="shared" si="10"/>
        <v>86.080931478389857</v>
      </c>
      <c r="Q21" s="6">
        <v>6</v>
      </c>
      <c r="R21" s="6">
        <f t="shared" ref="R21:AC21" si="11">SQRT(2/PI()/1.225)*(1000/$M$4/$M$7)*(($H$5+$M$5+(R$69*$Q75*$C$7+$U$67)/4)*9.8/1000)^(3/2)</f>
        <v>32.590921656464531</v>
      </c>
      <c r="S21" s="6">
        <f t="shared" si="11"/>
        <v>52.761484409642271</v>
      </c>
      <c r="T21" s="6">
        <f t="shared" si="11"/>
        <v>75.932414327117939</v>
      </c>
      <c r="U21" s="6">
        <f t="shared" si="11"/>
        <v>101.75585589118883</v>
      </c>
      <c r="V21" s="6">
        <f t="shared" si="11"/>
        <v>129.98290785076617</v>
      </c>
      <c r="W21" s="6">
        <f t="shared" si="11"/>
        <v>160.42397585630488</v>
      </c>
      <c r="X21" s="6">
        <f t="shared" si="11"/>
        <v>192.92836858580694</v>
      </c>
      <c r="Y21" s="6">
        <f t="shared" si="11"/>
        <v>227.3725589614383</v>
      </c>
      <c r="Z21" s="6">
        <f t="shared" si="11"/>
        <v>263.65288094091039</v>
      </c>
      <c r="AA21" s="6">
        <f t="shared" si="11"/>
        <v>301.68071316030466</v>
      </c>
      <c r="AB21" s="6">
        <f t="shared" si="11"/>
        <v>341.37915558876676</v>
      </c>
      <c r="AC21" s="6">
        <f t="shared" si="11"/>
        <v>382.68065180987674</v>
      </c>
    </row>
    <row r="22" spans="1:29" s="6" customFormat="1" hidden="1" x14ac:dyDescent="0.25">
      <c r="A22" s="14"/>
      <c r="B22" s="6">
        <v>400</v>
      </c>
      <c r="C22" s="6">
        <f t="shared" ref="C22:N22" si="12">(2/PI()/1.225)^(1/2)*(1000/$M$4/$M$7)*(($H$5+$M$5+(C$69*$F$67*$C$7+$B76)/4)*9.8/1000)^(3/2)</f>
        <v>13.920580937497325</v>
      </c>
      <c r="D22" s="6">
        <f t="shared" si="12"/>
        <v>18.818215764253061</v>
      </c>
      <c r="E22" s="6">
        <f t="shared" si="12"/>
        <v>24.184659537551038</v>
      </c>
      <c r="F22" s="6">
        <f t="shared" si="12"/>
        <v>29.982042218394888</v>
      </c>
      <c r="G22" s="6">
        <f t="shared" si="12"/>
        <v>36.180426824754548</v>
      </c>
      <c r="H22" s="6">
        <f t="shared" si="12"/>
        <v>42.755371482552263</v>
      </c>
      <c r="I22" s="6">
        <f t="shared" si="12"/>
        <v>49.68642789042962</v>
      </c>
      <c r="J22" s="6">
        <f t="shared" si="12"/>
        <v>56.956158645727193</v>
      </c>
      <c r="K22" s="6">
        <f t="shared" si="12"/>
        <v>64.549463273264806</v>
      </c>
      <c r="L22" s="6">
        <f t="shared" si="12"/>
        <v>72.453098379815202</v>
      </c>
      <c r="M22" s="6">
        <f t="shared" si="12"/>
        <v>80.655325430745606</v>
      </c>
      <c r="N22" s="6">
        <f t="shared" si="12"/>
        <v>89.145645547810247</v>
      </c>
      <c r="Q22" s="6">
        <v>7</v>
      </c>
      <c r="R22" s="6">
        <f t="shared" ref="R22:AC22" si="13">SQRT(2/PI()/1.225)*(1000/$M$4/$M$7)*(($H$5+$M$5+(R$69*$Q76*$C$7+$U$67)/4)*9.8/1000)^(3/2)</f>
        <v>35.724933232977584</v>
      </c>
      <c r="S22" s="6">
        <f t="shared" si="13"/>
        <v>60.171621103923655</v>
      </c>
      <c r="T22" s="6">
        <f t="shared" si="13"/>
        <v>88.529847090116917</v>
      </c>
      <c r="U22" s="6">
        <f t="shared" si="13"/>
        <v>120.31947288160016</v>
      </c>
      <c r="V22" s="6">
        <f t="shared" si="13"/>
        <v>155.20349336862054</v>
      </c>
      <c r="W22" s="6">
        <f t="shared" si="13"/>
        <v>192.92836858580694</v>
      </c>
      <c r="X22" s="6">
        <f t="shared" si="13"/>
        <v>233.29432888522595</v>
      </c>
      <c r="Y22" s="6">
        <f t="shared" si="13"/>
        <v>276.1386698558062</v>
      </c>
      <c r="Z22" s="6">
        <f t="shared" si="13"/>
        <v>321.32552635261993</v>
      </c>
      <c r="AA22" s="6">
        <f t="shared" si="13"/>
        <v>368.73921104162514</v>
      </c>
      <c r="AB22" s="6">
        <f t="shared" si="13"/>
        <v>418.27966217902519</v>
      </c>
      <c r="AC22" s="6">
        <f t="shared" si="13"/>
        <v>469.85921206912116</v>
      </c>
    </row>
    <row r="23" spans="1:29" s="6" customFormat="1" hidden="1" x14ac:dyDescent="0.25">
      <c r="A23" s="14"/>
      <c r="B23" s="6">
        <v>450</v>
      </c>
      <c r="C23" s="6">
        <f t="shared" ref="C23:N23" si="14">(2/PI()/1.225)^(1/2)*(1000/$M$4/$M$7)*(($H$5+$M$5+(C$69*$F$67*$C$7+$B77)/4)*9.8/1000)^(3/2)</f>
        <v>15.613098650637944</v>
      </c>
      <c r="D23" s="6">
        <f t="shared" si="14"/>
        <v>20.683158280175444</v>
      </c>
      <c r="E23" s="6">
        <f t="shared" si="14"/>
        <v>26.207377140691509</v>
      </c>
      <c r="F23" s="6">
        <f t="shared" si="14"/>
        <v>32.151086057641542</v>
      </c>
      <c r="G23" s="6">
        <f t="shared" si="14"/>
        <v>38.486529272895709</v>
      </c>
      <c r="H23" s="6">
        <f t="shared" si="14"/>
        <v>45.190830526928451</v>
      </c>
      <c r="I23" s="6">
        <f t="shared" si="14"/>
        <v>52.244710394092323</v>
      </c>
      <c r="J23" s="6">
        <f t="shared" si="14"/>
        <v>59.631631552195941</v>
      </c>
      <c r="K23" s="6">
        <f t="shared" si="14"/>
        <v>67.337204134956195</v>
      </c>
      <c r="L23" s="6">
        <f t="shared" si="14"/>
        <v>75.348757430542165</v>
      </c>
      <c r="M23" s="6">
        <f t="shared" si="14"/>
        <v>83.655022462342231</v>
      </c>
      <c r="N23" s="6">
        <f t="shared" si="14"/>
        <v>92.245891052198317</v>
      </c>
      <c r="Q23" s="6">
        <v>8</v>
      </c>
      <c r="R23" s="6">
        <f t="shared" ref="R23:AC23" si="15">SQRT(2/PI()/1.225)*(1000/$M$4/$M$7)*(($H$5+$M$5+(R$69*$Q77*$C$7+$U$67)/4)*9.8/1000)^(3/2)</f>
        <v>38.953421877122985</v>
      </c>
      <c r="S23" s="6">
        <f t="shared" si="15"/>
        <v>67.899451452134372</v>
      </c>
      <c r="T23" s="6">
        <f t="shared" si="15"/>
        <v>101.75585589118883</v>
      </c>
      <c r="U23" s="6">
        <f t="shared" si="15"/>
        <v>139.89203280490202</v>
      </c>
      <c r="V23" s="6">
        <f t="shared" si="15"/>
        <v>181.87240327858055</v>
      </c>
      <c r="W23" s="6">
        <f t="shared" si="15"/>
        <v>227.3725589614383</v>
      </c>
      <c r="X23" s="6">
        <f t="shared" si="15"/>
        <v>276.1386698558062</v>
      </c>
      <c r="Y23" s="6">
        <f t="shared" si="15"/>
        <v>327.96505911745805</v>
      </c>
      <c r="Z23" s="6">
        <f t="shared" si="15"/>
        <v>382.68065180987674</v>
      </c>
      <c r="AA23" s="6">
        <f t="shared" si="15"/>
        <v>440.14023271826062</v>
      </c>
      <c r="AB23" s="6">
        <f t="shared" si="15"/>
        <v>500.21851747939451</v>
      </c>
      <c r="AC23" s="6">
        <f t="shared" si="15"/>
        <v>562.80596945131595</v>
      </c>
    </row>
    <row r="24" spans="1:29" s="6" customFormat="1" hidden="1" x14ac:dyDescent="0.25">
      <c r="A24" s="14"/>
      <c r="B24" s="6">
        <v>500</v>
      </c>
      <c r="C24" s="6">
        <f t="shared" ref="C24:N24" si="16">(2/PI()/1.225)^(1/2)*(1000/$M$4/$M$7)*(($H$5+$M$5+(C$69*$F$67*$C$7+$B78)/4)*9.8/1000)^(3/2)</f>
        <v>17.369142056368922</v>
      </c>
      <c r="D24" s="6">
        <f t="shared" si="16"/>
        <v>22.605936233129995</v>
      </c>
      <c r="E24" s="6">
        <f t="shared" si="16"/>
        <v>28.283538588028037</v>
      </c>
      <c r="F24" s="6">
        <f t="shared" si="16"/>
        <v>34.370051597038511</v>
      </c>
      <c r="G24" s="6">
        <f t="shared" si="16"/>
        <v>40.839647071204787</v>
      </c>
      <c r="H24" s="6">
        <f t="shared" si="16"/>
        <v>47.670853549829275</v>
      </c>
      <c r="I24" s="6">
        <f t="shared" si="16"/>
        <v>54.845452932267548</v>
      </c>
      <c r="J24" s="6">
        <f t="shared" si="16"/>
        <v>62.347732959473753</v>
      </c>
      <c r="K24" s="6">
        <f t="shared" si="16"/>
        <v>70.163960239188839</v>
      </c>
      <c r="L24" s="6">
        <f t="shared" si="16"/>
        <v>78.281996562963315</v>
      </c>
      <c r="M24" s="6">
        <f t="shared" si="16"/>
        <v>86.691011980794272</v>
      </c>
      <c r="N24" s="6">
        <f t="shared" si="16"/>
        <v>95.381265342383088</v>
      </c>
      <c r="Q24" s="6">
        <v>9</v>
      </c>
      <c r="R24" s="6">
        <f t="shared" ref="R24:AC24" si="17">SQRT(2/PI()/1.225)*(1000/$M$4/$M$7)*(($H$5+$M$5+(R$69*$Q78*$C$7+$U$67)/4)*9.8/1000)^(3/2)</f>
        <v>42.273699646726072</v>
      </c>
      <c r="S24" s="6">
        <f t="shared" si="17"/>
        <v>75.932414327117939</v>
      </c>
      <c r="T24" s="6">
        <f t="shared" si="17"/>
        <v>115.58187338914594</v>
      </c>
      <c r="U24" s="6">
        <f t="shared" si="17"/>
        <v>160.42397585630488</v>
      </c>
      <c r="V24" s="6">
        <f t="shared" si="17"/>
        <v>209.91486817676494</v>
      </c>
      <c r="W24" s="6">
        <f t="shared" si="17"/>
        <v>263.65288094091039</v>
      </c>
      <c r="X24" s="6">
        <f t="shared" si="17"/>
        <v>321.32552635261993</v>
      </c>
      <c r="Y24" s="6">
        <f t="shared" si="17"/>
        <v>382.68065180987674</v>
      </c>
      <c r="Z24" s="6">
        <f t="shared" si="17"/>
        <v>447.50919140940323</v>
      </c>
      <c r="AA24" s="6">
        <f t="shared" si="17"/>
        <v>515.63412598518914</v>
      </c>
      <c r="AB24" s="6">
        <f t="shared" si="17"/>
        <v>586.90304168524449</v>
      </c>
      <c r="AC24" s="6">
        <f t="shared" si="17"/>
        <v>661.18290539643374</v>
      </c>
    </row>
    <row r="25" spans="1:29" s="6" customFormat="1" hidden="1" x14ac:dyDescent="0.25">
      <c r="A25" s="14"/>
      <c r="B25" s="6">
        <v>550</v>
      </c>
      <c r="C25" s="6">
        <f t="shared" ref="C25:N25" si="18">(2/PI()/1.225)^(1/2)*(1000/$M$4/$M$7)*(($H$5+$M$5+(C$69*$F$67*$C$7+$B79)/4)*9.8/1000)^(3/2)</f>
        <v>19.18649105565969</v>
      </c>
      <c r="D25" s="6">
        <f t="shared" si="18"/>
        <v>24.58485958151503</v>
      </c>
      <c r="E25" s="6">
        <f t="shared" si="18"/>
        <v>30.411801966301393</v>
      </c>
      <c r="F25" s="6">
        <f t="shared" si="18"/>
        <v>36.637839979581855</v>
      </c>
      <c r="G25" s="6">
        <f t="shared" si="18"/>
        <v>43.238858958059019</v>
      </c>
      <c r="H25" s="6">
        <f t="shared" si="18"/>
        <v>50.194653704058247</v>
      </c>
      <c r="I25" s="6">
        <f t="shared" si="18"/>
        <v>57.487973286175603</v>
      </c>
      <c r="J25" s="6">
        <f t="shared" si="18"/>
        <v>65.103863979002242</v>
      </c>
      <c r="K25" s="6">
        <f t="shared" si="18"/>
        <v>73.029200341780097</v>
      </c>
      <c r="L25" s="6">
        <f t="shared" si="18"/>
        <v>81.252340335517147</v>
      </c>
      <c r="M25" s="6">
        <f t="shared" si="18"/>
        <v>89.762865217579503</v>
      </c>
      <c r="N25" s="6">
        <f t="shared" si="18"/>
        <v>98.5513791558908</v>
      </c>
      <c r="Q25" s="6">
        <v>10</v>
      </c>
      <c r="R25" s="6">
        <f t="shared" ref="R25:AC25" si="19">SQRT(2/PI()/1.225)*(1000/$M$4/$M$7)*(($H$5+$M$5+(R$69*$Q79*$C$7+$U$67)/4)*9.8/1000)^(3/2)</f>
        <v>45.683295801077065</v>
      </c>
      <c r="S25" s="6">
        <f t="shared" si="19"/>
        <v>84.259330908591835</v>
      </c>
      <c r="T25" s="6">
        <f t="shared" si="19"/>
        <v>129.98290785076617</v>
      </c>
      <c r="U25" s="6">
        <f t="shared" si="19"/>
        <v>181.87240327858055</v>
      </c>
      <c r="V25" s="6">
        <f t="shared" si="19"/>
        <v>239.26663403547846</v>
      </c>
      <c r="W25" s="6">
        <f t="shared" si="19"/>
        <v>301.68071316030466</v>
      </c>
      <c r="X25" s="6">
        <f t="shared" si="19"/>
        <v>368.73921104162514</v>
      </c>
      <c r="Y25" s="6">
        <f t="shared" si="19"/>
        <v>440.14023271826062</v>
      </c>
      <c r="Z25" s="6">
        <f t="shared" si="19"/>
        <v>515.63412598518914</v>
      </c>
      <c r="AA25" s="6">
        <f t="shared" si="19"/>
        <v>595.00994203779635</v>
      </c>
      <c r="AB25" s="6">
        <f t="shared" si="19"/>
        <v>678.08635532782046</v>
      </c>
      <c r="AC25" s="6">
        <f t="shared" si="19"/>
        <v>764.70531412361231</v>
      </c>
    </row>
    <row r="26" spans="1:29" s="6" customFormat="1" hidden="1" x14ac:dyDescent="0.25">
      <c r="A26" s="14"/>
      <c r="B26" s="6">
        <v>600</v>
      </c>
      <c r="C26" s="6">
        <f t="shared" ref="C26:N26" si="20">(2/PI()/1.225)^(1/2)*(1000/$M$4/$M$7)*(($H$5+$M$5+(C$69*$F$67*$C$7+$B80)/4)*9.8/1000)^(3/2)</f>
        <v>21.063143301285557</v>
      </c>
      <c r="D26" s="6">
        <f t="shared" si="20"/>
        <v>26.618378349072803</v>
      </c>
      <c r="E26" s="6">
        <f t="shared" si="20"/>
        <v>32.590921656464531</v>
      </c>
      <c r="F26" s="6">
        <f t="shared" si="20"/>
        <v>38.953421877122985</v>
      </c>
      <c r="G26" s="6">
        <f t="shared" si="20"/>
        <v>45.683295801077065</v>
      </c>
      <c r="H26" s="6">
        <f t="shared" si="20"/>
        <v>52.761484409642271</v>
      </c>
      <c r="I26" s="6">
        <f t="shared" si="20"/>
        <v>60.171621103923655</v>
      </c>
      <c r="J26" s="6">
        <f t="shared" si="20"/>
        <v>67.899451452134372</v>
      </c>
      <c r="K26" s="6">
        <f t="shared" si="20"/>
        <v>75.932414327117939</v>
      </c>
      <c r="L26" s="6">
        <f t="shared" si="20"/>
        <v>84.259330908591835</v>
      </c>
      <c r="M26" s="6">
        <f t="shared" si="20"/>
        <v>92.870168251772569</v>
      </c>
      <c r="N26" s="6">
        <f t="shared" si="20"/>
        <v>101.75585589118883</v>
      </c>
      <c r="Q26" s="6">
        <v>11</v>
      </c>
      <c r="R26" s="6">
        <f t="shared" ref="R26:AC26" si="21">SQRT(2/PI()/1.225)*(1000/$M$4/$M$7)*(($H$5+$M$5+(R$69*$Q80*$C$7+$U$67)/4)*9.8/1000)^(3/2)</f>
        <v>49.179929029157435</v>
      </c>
      <c r="S26" s="6">
        <f t="shared" si="21"/>
        <v>92.870168251772569</v>
      </c>
      <c r="T26" s="6">
        <f t="shared" si="21"/>
        <v>144.93685384776973</v>
      </c>
      <c r="U26" s="6">
        <f t="shared" si="21"/>
        <v>204.19970601028254</v>
      </c>
      <c r="V26" s="6">
        <f t="shared" si="21"/>
        <v>269.87170526778459</v>
      </c>
      <c r="W26" s="6">
        <f t="shared" si="21"/>
        <v>341.37915558876676</v>
      </c>
      <c r="X26" s="6">
        <f t="shared" si="21"/>
        <v>418.27966217902519</v>
      </c>
      <c r="Y26" s="6">
        <f t="shared" si="21"/>
        <v>500.21851747939451</v>
      </c>
      <c r="Z26" s="6">
        <f t="shared" si="21"/>
        <v>586.90304168524449</v>
      </c>
      <c r="AA26" s="6">
        <f t="shared" si="21"/>
        <v>678.08635532782046</v>
      </c>
      <c r="AB26" s="6">
        <f t="shared" si="21"/>
        <v>773.55654235178542</v>
      </c>
      <c r="AC26" s="6">
        <f t="shared" si="21"/>
        <v>873.12909772763896</v>
      </c>
    </row>
    <row r="27" spans="1:29" s="6" customFormat="1" hidden="1" x14ac:dyDescent="0.25">
      <c r="A27" s="14"/>
      <c r="B27" s="6">
        <v>650</v>
      </c>
      <c r="C27" s="6">
        <f t="shared" ref="C27:N27" si="22">(2/PI()/1.225)^(1/2)*(1000/$M$4/$M$7)*(($H$5+$M$5+(C$69*$F$67*$C$7+$B81)/4)*9.8/1000)^(3/2)</f>
        <v>22.997280760369257</v>
      </c>
      <c r="D27" s="6">
        <f t="shared" si="22"/>
        <v>28.705064280423599</v>
      </c>
      <c r="E27" s="6">
        <f t="shared" si="22"/>
        <v>34.819737338088572</v>
      </c>
      <c r="F27" s="6">
        <f t="shared" si="22"/>
        <v>41.315830452482814</v>
      </c>
      <c r="G27" s="6">
        <f t="shared" si="22"/>
        <v>48.172135858337271</v>
      </c>
      <c r="H27" s="6">
        <f t="shared" si="22"/>
        <v>55.370636031900908</v>
      </c>
      <c r="I27" s="6">
        <f t="shared" si="22"/>
        <v>62.895775494098892</v>
      </c>
      <c r="J27" s="6">
        <f t="shared" si="22"/>
        <v>70.733946158764695</v>
      </c>
      <c r="K27" s="6">
        <f t="shared" si="22"/>
        <v>78.873111843608712</v>
      </c>
      <c r="L27" s="6">
        <f t="shared" si="22"/>
        <v>87.302526984449997</v>
      </c>
      <c r="M27" s="6">
        <f t="shared" si="22"/>
        <v>96.012521172376395</v>
      </c>
      <c r="N27" s="6">
        <f t="shared" si="22"/>
        <v>104.99433093585101</v>
      </c>
      <c r="Q27" s="6">
        <v>12</v>
      </c>
      <c r="R27" s="6">
        <f t="shared" ref="R27:AC27" si="23">SQRT(2/PI()/1.225)*(1000/$M$4/$M$7)*(($H$5+$M$5+(R$69*$Q81*$C$7+$U$67)/4)*9.8/1000)^(3/2)</f>
        <v>52.761484409642271</v>
      </c>
      <c r="S27" s="6">
        <f t="shared" si="23"/>
        <v>101.75585589118883</v>
      </c>
      <c r="T27" s="6">
        <f t="shared" si="23"/>
        <v>160.42397585630488</v>
      </c>
      <c r="U27" s="6">
        <f t="shared" si="23"/>
        <v>227.3725589614383</v>
      </c>
      <c r="V27" s="6">
        <f t="shared" si="23"/>
        <v>301.68071316030466</v>
      </c>
      <c r="W27" s="6">
        <f t="shared" si="23"/>
        <v>382.68065180987674</v>
      </c>
      <c r="X27" s="6">
        <f t="shared" si="23"/>
        <v>469.85921206912116</v>
      </c>
      <c r="Y27" s="6">
        <f t="shared" si="23"/>
        <v>562.80596945131595</v>
      </c>
      <c r="Z27" s="6">
        <f t="shared" si="23"/>
        <v>661.18290539643374</v>
      </c>
      <c r="AA27" s="6">
        <f t="shared" si="23"/>
        <v>764.70531412361231</v>
      </c>
      <c r="AB27" s="6">
        <f t="shared" si="23"/>
        <v>873.12909772763896</v>
      </c>
      <c r="AC27" s="6">
        <f t="shared" si="23"/>
        <v>986.2419372573911</v>
      </c>
    </row>
    <row r="28" spans="1:29" s="6" customFormat="1" hidden="1" x14ac:dyDescent="0.25">
      <c r="A28" s="14"/>
      <c r="B28" s="6">
        <v>700</v>
      </c>
      <c r="C28" s="6">
        <f t="shared" ref="C28:N28" si="24">(2/PI()/1.225)^(1/2)*(1000/$M$4/$M$7)*(($H$5+$M$5+(C$69*$F$67*$C$7+$B82)/4)*9.8/1000)^(3/2)</f>
        <v>24.987243054073989</v>
      </c>
      <c r="D28" s="6">
        <f t="shared" si="24"/>
        <v>30.843595694431958</v>
      </c>
      <c r="E28" s="6">
        <f t="shared" si="24"/>
        <v>37.097164675440169</v>
      </c>
      <c r="F28" s="6">
        <f t="shared" si="24"/>
        <v>43.724155280407338</v>
      </c>
      <c r="G28" s="6">
        <f t="shared" si="24"/>
        <v>50.70460062167232</v>
      </c>
      <c r="H28" s="6">
        <f t="shared" si="24"/>
        <v>58.021432931007979</v>
      </c>
      <c r="I28" s="6">
        <f t="shared" si="24"/>
        <v>65.659842866352022</v>
      </c>
      <c r="J28" s="6">
        <f t="shared" si="24"/>
        <v>73.606821195860704</v>
      </c>
      <c r="K28" s="6">
        <f t="shared" si="24"/>
        <v>81.850821059412283</v>
      </c>
      <c r="L28" s="6">
        <f t="shared" si="24"/>
        <v>90.381502834440553</v>
      </c>
      <c r="M28" s="6">
        <f t="shared" si="24"/>
        <v>99.189537305362705</v>
      </c>
      <c r="N28" s="6">
        <f t="shared" si="24"/>
        <v>108.26645104359972</v>
      </c>
    </row>
    <row r="29" spans="1:29" s="6" customFormat="1" hidden="1" x14ac:dyDescent="0.25">
      <c r="A29" s="14"/>
      <c r="B29" s="6">
        <v>750</v>
      </c>
      <c r="C29" s="6">
        <f t="shared" ref="C29:N29" si="25">(2/PI()/1.225)^(1/2)*(1000/$M$4/$M$7)*(($H$5+$M$5+(C$69*$F$67*$C$7+$B83)/4)*9.8/1000)^(3/2)</f>
        <v>27.031505904019259</v>
      </c>
      <c r="D29" s="6">
        <f t="shared" si="25"/>
        <v>33.03274485236674</v>
      </c>
      <c r="E29" s="6">
        <f t="shared" si="25"/>
        <v>39.422187368279438</v>
      </c>
      <c r="F29" s="6">
        <f t="shared" si="25"/>
        <v>46.177537065654619</v>
      </c>
      <c r="G29" s="6">
        <f t="shared" si="25"/>
        <v>53.279951153210142</v>
      </c>
      <c r="H29" s="6">
        <f t="shared" si="25"/>
        <v>60.713230831275659</v>
      </c>
      <c r="I29" s="6">
        <f t="shared" si="25"/>
        <v>68.463254987300914</v>
      </c>
      <c r="J29" s="6">
        <f t="shared" si="25"/>
        <v>76.51757050572175</v>
      </c>
      <c r="K29" s="6">
        <f t="shared" si="25"/>
        <v>84.865087525164739</v>
      </c>
      <c r="L29" s="6">
        <f t="shared" si="25"/>
        <v>93.4958474044697</v>
      </c>
      <c r="M29" s="6">
        <f t="shared" si="25"/>
        <v>102.40084249913423</v>
      </c>
      <c r="N29" s="6">
        <f t="shared" si="25"/>
        <v>111.57187375574581</v>
      </c>
    </row>
    <row r="30" spans="1:29" s="6" customFormat="1" hidden="1" x14ac:dyDescent="0.25">
      <c r="A30" s="14"/>
      <c r="B30" s="6">
        <v>800</v>
      </c>
      <c r="C30" s="6">
        <f t="shared" ref="C30:N30" si="26">(2/PI()/1.225)^(1/2)*(1000/$M$4/$M$7)*(($H$5+$M$5+(C$69*$F$67*$C$7+$B84)/4)*9.8/1000)^(3/2)</f>
        <v>29.128663492347364</v>
      </c>
      <c r="D30" s="6">
        <f t="shared" si="26"/>
        <v>35.271367328122857</v>
      </c>
      <c r="E30" s="6">
        <f t="shared" si="26"/>
        <v>41.793850320527724</v>
      </c>
      <c r="F30" s="6">
        <f t="shared" si="26"/>
        <v>48.675163028640057</v>
      </c>
      <c r="G30" s="6">
        <f t="shared" si="26"/>
        <v>55.897484842359262</v>
      </c>
      <c r="H30" s="6">
        <f t="shared" si="26"/>
        <v>63.445414466944165</v>
      </c>
      <c r="I30" s="6">
        <f t="shared" si="26"/>
        <v>71.305467224909904</v>
      </c>
      <c r="J30" s="6">
        <f t="shared" si="26"/>
        <v>79.465707536642896</v>
      </c>
      <c r="K30" s="6">
        <f t="shared" si="26"/>
        <v>87.915473132142054</v>
      </c>
      <c r="L30" s="6">
        <f t="shared" si="26"/>
        <v>96.645163490815534</v>
      </c>
      <c r="M30" s="6">
        <f t="shared" si="26"/>
        <v>105.64607446284904</v>
      </c>
      <c r="N30" s="6">
        <f t="shared" si="26"/>
        <v>114.91026686303923</v>
      </c>
    </row>
    <row r="31" spans="1:29" s="6" customFormat="1" hidden="1" x14ac:dyDescent="0.25">
      <c r="A31" s="14"/>
      <c r="B31" s="6">
        <v>850</v>
      </c>
      <c r="C31" s="6">
        <f t="shared" ref="C31:N31" si="27">(2/PI()/1.225)^(1/2)*(1000/$M$4/$M$7)*(($H$5+$M$5+(C$69*$F$67*$C$7+$B85)/4)*9.8/1000)^(3/2)</f>
        <v>31.277413866394003</v>
      </c>
      <c r="D31" s="6">
        <f t="shared" si="27"/>
        <v>37.558392990052134</v>
      </c>
      <c r="E31" s="6">
        <f t="shared" si="27"/>
        <v>44.211253732434919</v>
      </c>
      <c r="F31" s="6">
        <f t="shared" si="27"/>
        <v>51.216262853918771</v>
      </c>
      <c r="G31" s="6">
        <f t="shared" si="27"/>
        <v>58.556532523156122</v>
      </c>
      <c r="H31" s="6">
        <f t="shared" si="27"/>
        <v>66.217395468195107</v>
      </c>
      <c r="I31" s="6">
        <f t="shared" si="27"/>
        <v>74.185956958482222</v>
      </c>
      <c r="J31" s="6">
        <f t="shared" si="27"/>
        <v>82.450764021051384</v>
      </c>
      <c r="K31" s="6">
        <f t="shared" si="27"/>
        <v>91.001555155808745</v>
      </c>
      <c r="L31" s="6">
        <f t="shared" si="27"/>
        <v>99.829066979331898</v>
      </c>
      <c r="M31" s="6">
        <f t="shared" si="27"/>
        <v>108.92488215268438</v>
      </c>
      <c r="N31" s="6">
        <f t="shared" si="27"/>
        <v>118.28130790437186</v>
      </c>
    </row>
    <row r="32" spans="1:29" s="6" customFormat="1" hidden="1" x14ac:dyDescent="0.25">
      <c r="A32" s="14"/>
      <c r="B32" s="6">
        <v>900</v>
      </c>
      <c r="C32" s="6">
        <f t="shared" ref="C32:N32" si="28">(2/PI()/1.225)^(1/2)*(1000/$M$4/$M$7)*(($H$5+$M$5+(C$69*$F$67*$C$7+$B86)/4)*9.8/1000)^(3/2)</f>
        <v>33.476546743788667</v>
      </c>
      <c r="D32" s="6">
        <f t="shared" si="28"/>
        <v>39.892818293186743</v>
      </c>
      <c r="E32" s="6">
        <f t="shared" si="28"/>
        <v>46.67354796165715</v>
      </c>
      <c r="F32" s="6">
        <f t="shared" si="28"/>
        <v>53.800105116190267</v>
      </c>
      <c r="G32" s="6">
        <f t="shared" si="28"/>
        <v>61.25645590206495</v>
      </c>
      <c r="H32" s="6">
        <f t="shared" si="28"/>
        <v>69.028610456759054</v>
      </c>
      <c r="I32" s="6">
        <f t="shared" si="28"/>
        <v>77.104222134702709</v>
      </c>
      <c r="J32" s="6">
        <f t="shared" si="28"/>
        <v>85.47228885818943</v>
      </c>
      <c r="K32" s="6">
        <f t="shared" si="28"/>
        <v>94.122925375956868</v>
      </c>
      <c r="L32" s="6">
        <f t="shared" si="28"/>
        <v>103.04718614190523</v>
      </c>
      <c r="M32" s="6">
        <f t="shared" si="28"/>
        <v>112.23692520166301</v>
      </c>
      <c r="N32" s="6">
        <f t="shared" si="28"/>
        <v>121.68468369914929</v>
      </c>
    </row>
    <row r="33" spans="1:29" s="6" customFormat="1" hidden="1" x14ac:dyDescent="0.25">
      <c r="A33" s="14"/>
      <c r="B33" s="6">
        <v>950</v>
      </c>
      <c r="C33" s="6">
        <f t="shared" ref="C33:N33" si="29">(2/PI()/1.225)^(1/2)*(1000/$M$4/$M$7)*(($H$5+$M$5+(C$69*$F$67*$C$7+$B87)/4)*9.8/1000)^(3/2)</f>
        <v>35.724933232977584</v>
      </c>
      <c r="D33" s="6">
        <f t="shared" si="29"/>
        <v>42.273699646726072</v>
      </c>
      <c r="E33" s="6">
        <f t="shared" si="29"/>
        <v>49.179929029157435</v>
      </c>
      <c r="F33" s="6">
        <f t="shared" si="29"/>
        <v>56.42599411380484</v>
      </c>
      <c r="G33" s="6">
        <f t="shared" si="29"/>
        <v>63.996645254517098</v>
      </c>
      <c r="H33" s="6">
        <f t="shared" si="29"/>
        <v>71.878519325132473</v>
      </c>
      <c r="I33" s="6">
        <f t="shared" si="29"/>
        <v>80.059779952922142</v>
      </c>
      <c r="J33" s="6">
        <f t="shared" si="29"/>
        <v>88.529847090116917</v>
      </c>
      <c r="K33" s="6">
        <f t="shared" si="29"/>
        <v>97.279189265728021</v>
      </c>
      <c r="L33" s="6">
        <f t="shared" si="29"/>
        <v>106.2991609847427</v>
      </c>
      <c r="M33" s="6">
        <f t="shared" si="29"/>
        <v>115.58187338914594</v>
      </c>
      <c r="N33" s="6">
        <f t="shared" si="29"/>
        <v>125.12008991048035</v>
      </c>
    </row>
    <row r="34" spans="1:29" s="6" customFormat="1" hidden="1" x14ac:dyDescent="0.25">
      <c r="A34" s="14"/>
      <c r="B34" s="6">
        <v>1000</v>
      </c>
      <c r="C34" s="6">
        <f t="shared" ref="C34:N34" si="30">(2/PI()/1.225)^(1/2)*(1000/$M$4/$M$7)*(($H$5+$M$5+(C$69*$F$67*$C$7+$B88)/4)*9.8/1000)^(3/2)</f>
        <v>38.021517098832277</v>
      </c>
      <c r="D34" s="6">
        <f t="shared" si="30"/>
        <v>44.70014767126122</v>
      </c>
      <c r="E34" s="6">
        <f t="shared" si="30"/>
        <v>51.729634669476269</v>
      </c>
      <c r="F34" s="6">
        <f t="shared" si="30"/>
        <v>59.093267051906423</v>
      </c>
      <c r="G34" s="6">
        <f t="shared" si="30"/>
        <v>66.776517355132199</v>
      </c>
      <c r="H34" s="6">
        <f t="shared" si="30"/>
        <v>74.766603677249421</v>
      </c>
      <c r="I34" s="6">
        <f t="shared" si="30"/>
        <v>83.05216566517781</v>
      </c>
      <c r="J34" s="6">
        <f t="shared" si="30"/>
        <v>91.623018961243588</v>
      </c>
      <c r="K34" s="6">
        <f t="shared" si="30"/>
        <v>100.46996524273335</v>
      </c>
      <c r="L34" s="6">
        <f t="shared" si="30"/>
        <v>109.58464264368179</v>
      </c>
      <c r="M34" s="6">
        <f t="shared" si="30"/>
        <v>118.95940614651272</v>
      </c>
      <c r="N34" s="6">
        <f t="shared" si="30"/>
        <v>128.58723063661873</v>
      </c>
    </row>
    <row r="35" spans="1:29" s="6" customFormat="1" hidden="1" x14ac:dyDescent="0.25">
      <c r="A35" s="14"/>
      <c r="B35" s="6">
        <v>1050</v>
      </c>
      <c r="C35" s="6">
        <f t="shared" ref="C35:N35" si="31">(2/PI()/1.225)^(1/2)*(1000/$M$4/$M$7)*(($H$5+$M$5+(C$69*$F$67*$C$7+$B89)/4)*9.8/1000)^(3/2)</f>
        <v>40.365307286945232</v>
      </c>
      <c r="D35" s="6">
        <f t="shared" si="31"/>
        <v>47.171322197901659</v>
      </c>
      <c r="E35" s="6">
        <f t="shared" si="31"/>
        <v>54.321940843409202</v>
      </c>
      <c r="F35" s="6">
        <f t="shared" si="31"/>
        <v>61.801291527084395</v>
      </c>
      <c r="G35" s="6">
        <f t="shared" si="31"/>
        <v>69.595513611992999</v>
      </c>
      <c r="H35" s="6">
        <f t="shared" si="31"/>
        <v>77.692365411638107</v>
      </c>
      <c r="I35" s="6">
        <f t="shared" si="31"/>
        <v>86.080931478389857</v>
      </c>
      <c r="J35" s="6">
        <f t="shared" si="31"/>
        <v>94.751399052830379</v>
      </c>
      <c r="K35" s="6">
        <f t="shared" si="31"/>
        <v>103.69488397629001</v>
      </c>
      <c r="L35" s="6">
        <f t="shared" si="31"/>
        <v>112.90329282224786</v>
      </c>
      <c r="M35" s="6">
        <f t="shared" si="31"/>
        <v>122.36921209591522</v>
      </c>
      <c r="N35" s="6">
        <f t="shared" si="31"/>
        <v>132.08581802835269</v>
      </c>
    </row>
    <row r="36" spans="1:29" s="6" customFormat="1" hidden="1" x14ac:dyDescent="0.25">
      <c r="A36" s="14"/>
      <c r="B36" s="6">
        <v>1100</v>
      </c>
      <c r="C36" s="6">
        <f t="shared" ref="C36:N36" si="32">(2/PI()/1.225)^(1/2)*(1000/$M$4/$M$7)*(($H$5+$M$5+(C$69*$F$67*$C$7+$B90)/4)*9.8/1000)^(3/2)</f>
        <v>42.755371482552263</v>
      </c>
      <c r="D36" s="6">
        <f t="shared" si="32"/>
        <v>49.68642789042962</v>
      </c>
      <c r="E36" s="6">
        <f t="shared" si="32"/>
        <v>56.956158645727193</v>
      </c>
      <c r="F36" s="6">
        <f t="shared" si="32"/>
        <v>64.549463273264806</v>
      </c>
      <c r="G36" s="6">
        <f t="shared" si="32"/>
        <v>72.453098379815202</v>
      </c>
      <c r="H36" s="6">
        <f t="shared" si="32"/>
        <v>80.655325430745606</v>
      </c>
      <c r="I36" s="6">
        <f t="shared" si="32"/>
        <v>89.145645547810247</v>
      </c>
      <c r="J36" s="6">
        <f t="shared" si="32"/>
        <v>97.914595484945906</v>
      </c>
      <c r="K36" s="6">
        <f t="shared" si="32"/>
        <v>106.95358774548025</v>
      </c>
      <c r="L36" s="6">
        <f t="shared" si="32"/>
        <v>116.2547832686503</v>
      </c>
      <c r="M36" s="6">
        <f t="shared" si="32"/>
        <v>125.81098861931373</v>
      </c>
      <c r="N36" s="6">
        <f t="shared" si="32"/>
        <v>135.61557193025894</v>
      </c>
    </row>
    <row r="37" spans="1:29" s="6" customFormat="1" hidden="1" x14ac:dyDescent="0.25">
      <c r="A37" s="14"/>
      <c r="B37" s="6">
        <v>1150</v>
      </c>
      <c r="C37" s="6">
        <f t="shared" ref="C37:N37" si="33">(2/PI()/1.225)^(1/2)*(1000/$M$4/$M$7)*(($H$5+$M$5+(C$69*$F$67*$C$7+$B91)/4)*9.8/1000)^(3/2)</f>
        <v>45.190830526928451</v>
      </c>
      <c r="D37" s="6">
        <f t="shared" si="33"/>
        <v>52.244710394092323</v>
      </c>
      <c r="E37" s="6">
        <f t="shared" si="33"/>
        <v>59.631631552195941</v>
      </c>
      <c r="F37" s="6">
        <f t="shared" si="33"/>
        <v>67.337204134956195</v>
      </c>
      <c r="G37" s="6">
        <f t="shared" si="33"/>
        <v>75.348757430542165</v>
      </c>
      <c r="H37" s="6">
        <f t="shared" si="33"/>
        <v>83.655022462342231</v>
      </c>
      <c r="I37" s="6">
        <f t="shared" si="33"/>
        <v>92.245891052198317</v>
      </c>
      <c r="J37" s="6">
        <f t="shared" si="33"/>
        <v>101.11222917926504</v>
      </c>
      <c r="K37" s="6">
        <f t="shared" si="33"/>
        <v>110.24572984333624</v>
      </c>
      <c r="L37" s="6">
        <f t="shared" si="33"/>
        <v>119.63879528831534</v>
      </c>
      <c r="M37" s="6">
        <f t="shared" si="33"/>
        <v>129.28444145528567</v>
      </c>
      <c r="N37" s="6">
        <f t="shared" si="33"/>
        <v>139.1762195439421</v>
      </c>
    </row>
    <row r="38" spans="1:29" s="6" customFormat="1" hidden="1" x14ac:dyDescent="0.25">
      <c r="A38" s="14"/>
      <c r="B38" s="6">
        <v>1200</v>
      </c>
      <c r="C38" s="6">
        <f t="shared" ref="C38:N38" si="34">(2/PI()/1.225)^(1/2)*(1000/$M$4/$M$7)*(($H$5+$M$5+(C$69*$F$67*$C$7+$B92)/4)*9.8/1000)^(3/2)</f>
        <v>47.670853549829275</v>
      </c>
      <c r="D38" s="6">
        <f t="shared" si="34"/>
        <v>54.845452932267548</v>
      </c>
      <c r="E38" s="6">
        <f t="shared" si="34"/>
        <v>62.347732959473753</v>
      </c>
      <c r="F38" s="6">
        <f t="shared" si="34"/>
        <v>70.163960239188839</v>
      </c>
      <c r="G38" s="6">
        <f t="shared" si="34"/>
        <v>78.281996562963315</v>
      </c>
      <c r="H38" s="6">
        <f t="shared" si="34"/>
        <v>86.691011980794272</v>
      </c>
      <c r="I38" s="6">
        <f t="shared" si="34"/>
        <v>95.381265342383088</v>
      </c>
      <c r="J38" s="6">
        <f t="shared" si="34"/>
        <v>104.34393317687324</v>
      </c>
      <c r="K38" s="6">
        <f t="shared" si="34"/>
        <v>113.57097402297686</v>
      </c>
      <c r="L38" s="6">
        <f t="shared" si="34"/>
        <v>123.0550192889105</v>
      </c>
      <c r="M38" s="6">
        <f t="shared" si="34"/>
        <v>132.78928432134703</v>
      </c>
      <c r="N38" s="6">
        <f t="shared" si="34"/>
        <v>142.76749511155631</v>
      </c>
    </row>
    <row r="39" spans="1:29" s="6" customFormat="1" hidden="1" x14ac:dyDescent="0.25">
      <c r="A39" s="14"/>
    </row>
    <row r="40" spans="1:29" s="6" customFormat="1" hidden="1" x14ac:dyDescent="0.25">
      <c r="A40" s="14"/>
      <c r="B40" s="6" t="s">
        <v>135</v>
      </c>
      <c r="C40" s="6">
        <v>1</v>
      </c>
      <c r="D40" s="6">
        <v>2</v>
      </c>
      <c r="E40" s="6">
        <v>3</v>
      </c>
      <c r="F40" s="6">
        <v>4</v>
      </c>
      <c r="G40" s="6">
        <v>5</v>
      </c>
      <c r="H40" s="6">
        <v>6</v>
      </c>
      <c r="I40" s="6">
        <v>7</v>
      </c>
      <c r="J40" s="6">
        <v>8</v>
      </c>
      <c r="K40" s="6">
        <v>9</v>
      </c>
      <c r="L40" s="6">
        <v>10</v>
      </c>
      <c r="M40" s="6">
        <v>11</v>
      </c>
      <c r="N40" s="6">
        <v>12</v>
      </c>
      <c r="Q40" s="6" t="s">
        <v>135</v>
      </c>
      <c r="R40" s="6">
        <v>1</v>
      </c>
      <c r="S40" s="6">
        <v>2</v>
      </c>
      <c r="T40" s="6">
        <v>3</v>
      </c>
      <c r="U40" s="6">
        <v>4</v>
      </c>
      <c r="V40" s="6">
        <v>5</v>
      </c>
      <c r="W40" s="6">
        <v>6</v>
      </c>
      <c r="X40" s="6">
        <v>7</v>
      </c>
      <c r="Y40" s="6">
        <v>8</v>
      </c>
      <c r="Z40" s="6">
        <v>9</v>
      </c>
      <c r="AA40" s="6">
        <v>10</v>
      </c>
      <c r="AB40" s="6">
        <v>11</v>
      </c>
      <c r="AC40" s="6">
        <v>12</v>
      </c>
    </row>
    <row r="41" spans="1:29" s="6" customFormat="1" hidden="1" x14ac:dyDescent="0.25">
      <c r="A41" s="14"/>
      <c r="B41" s="6">
        <v>100</v>
      </c>
      <c r="C41" s="6">
        <f ca="1">IF(((C$69*$C$5-C41)^2-4*C16*($H$4+2*($H$10+$H$11))/1000)&lt;0,0,($C$6*C$69/$F$67/1000)*($R$5/(C$69*$C$5-C41)+2000*((C$69*$C$5-C41)-((C$69*$C$5-C41)^2-4*C16*($H$4+2*($H$10+$H$11))/1000)^(1/2))/($H$4+2*($H$10+$H$11))))</f>
        <v>5.4172685471579003E-2</v>
      </c>
      <c r="D41" s="6">
        <f t="shared" ref="D41:N41" ca="1" si="35">IF(((D$69*$C$5-D41)^2-4*D16*($H$4+2*($H$10+$H$11))/1000)&lt;0,0,($C$6*D$69/$F$67/1000)*($R$5/(D$69*$C$5-D41)+2000*((D$69*$C$5-D41)-((D$69*$C$5-D41)^2-4*D16*($H$4+2*($H$10+$H$11))/1000)^(1/2))/($H$4+2*($H$10+$H$11))))</f>
        <v>6.6457239177399305E-2</v>
      </c>
      <c r="E41" s="6">
        <f t="shared" ca="1" si="35"/>
        <v>8.1242184698825312E-2</v>
      </c>
      <c r="F41" s="6">
        <f t="shared" ca="1" si="35"/>
        <v>9.7943352628854743E-2</v>
      </c>
      <c r="G41" s="6">
        <f t="shared" ca="1" si="35"/>
        <v>0.11632636502956593</v>
      </c>
      <c r="H41" s="6">
        <f t="shared" ca="1" si="35"/>
        <v>0.13623933184795911</v>
      </c>
      <c r="I41" s="6">
        <f t="shared" ca="1" si="35"/>
        <v>0.15756913274657533</v>
      </c>
      <c r="J41" s="6">
        <f t="shared" ca="1" si="35"/>
        <v>0.18022603241714658</v>
      </c>
      <c r="K41" s="6">
        <f t="shared" ca="1" si="35"/>
        <v>0.20413615619856673</v>
      </c>
      <c r="L41" s="6">
        <f t="shared" ca="1" si="35"/>
        <v>0.22923713263536311</v>
      </c>
      <c r="M41" s="6">
        <f t="shared" ca="1" si="35"/>
        <v>0.25547530859014012</v>
      </c>
      <c r="N41" s="6">
        <f t="shared" ca="1" si="35"/>
        <v>0.28280385143564302</v>
      </c>
      <c r="Q41" s="6">
        <v>1</v>
      </c>
      <c r="R41" s="6">
        <f ca="1">IF(((R$69*$C$5-R41)^2-4*R16*($H$4+2*($H$10+$H$11))/1000)&lt;0,0,($C$6*R$69/$Q70/1000)*($R$5/(R$69*$C$5-R41)+2000*((R$69*$C$5-R41)-((R$69*$C$5-R41)^2-4*R16*($H$4+2*($H$10+$H$11))/1000)^(1/2))/($H$4+2*($H$10+$H$11))))</f>
        <v>0.24207836222297283</v>
      </c>
      <c r="S41" s="6">
        <f t="shared" ref="S41:AC41" ca="1" si="36">IF(((S$69*$C$5-S41)^2-4*S16*($H$4+2*($H$10+$H$11))/1000)&lt;0,0,($C$6*S$69/$Q70/1000)*($R$5/(S$69*$C$5-S41)+2000*((S$69*$C$5-S41)-((S$69*$C$5-S41)^2-4*S16*($H$4+2*($H$10+$H$11))/1000)^(1/2))/($H$4+2*($H$10+$H$11))))</f>
        <v>0.22763379728789757</v>
      </c>
      <c r="T41" s="6">
        <f t="shared" ca="1" si="36"/>
        <v>0.24158181694413122</v>
      </c>
      <c r="U41" s="6">
        <f t="shared" ca="1" si="36"/>
        <v>0.25928233917082122</v>
      </c>
      <c r="V41" s="6">
        <f t="shared" ca="1" si="36"/>
        <v>0.27863209286184082</v>
      </c>
      <c r="W41" s="6">
        <f t="shared" ca="1" si="36"/>
        <v>0.29908206830893919</v>
      </c>
      <c r="X41" s="6">
        <f t="shared" ca="1" si="36"/>
        <v>0.32041794571355264</v>
      </c>
      <c r="Y41" s="6">
        <f t="shared" ca="1" si="36"/>
        <v>0.34253302200808988</v>
      </c>
      <c r="Z41" s="6">
        <f t="shared" ca="1" si="36"/>
        <v>0.36536428104854834</v>
      </c>
      <c r="AA41" s="6">
        <f t="shared" ca="1" si="36"/>
        <v>0.38886952254983886</v>
      </c>
      <c r="AB41" s="6">
        <f t="shared" ca="1" si="36"/>
        <v>0.41301773825064136</v>
      </c>
      <c r="AC41" s="6">
        <f t="shared" ca="1" si="36"/>
        <v>0.43778454621835011</v>
      </c>
    </row>
    <row r="42" spans="1:29" s="6" customFormat="1" hidden="1" x14ac:dyDescent="0.25">
      <c r="A42" s="14"/>
      <c r="B42" s="6">
        <v>150</v>
      </c>
      <c r="C42" s="6">
        <f t="shared" ref="C42:N42" ca="1" si="37">IF(((C$69*$C$5-C42)^2-4*C17*($H$4+2*($H$10+$H$11))/1000)&lt;0,0,($C$6*C$69/$F$67/1000)*($R$5/(C$69*$C$5-C42)+2000*((C$69*$C$5-C42)-((C$69*$C$5-C42)^2-4*C17*($H$4+2*($H$10+$H$11))/1000)^(1/2))/($H$4+2*($H$10+$H$11))))</f>
        <v>5.9054685269087845E-2</v>
      </c>
      <c r="D42" s="6">
        <f t="shared" ca="1" si="37"/>
        <v>7.1819714750793753E-2</v>
      </c>
      <c r="E42" s="6">
        <f t="shared" ca="1" si="37"/>
        <v>8.7213132823774853E-2</v>
      </c>
      <c r="F42" s="6">
        <f t="shared" ca="1" si="37"/>
        <v>0.10449206949738138</v>
      </c>
      <c r="G42" s="6">
        <f t="shared" ca="1" si="37"/>
        <v>0.1234144277848163</v>
      </c>
      <c r="H42" s="6">
        <f t="shared" ca="1" si="37"/>
        <v>0.14383248275097388</v>
      </c>
      <c r="I42" s="6">
        <f t="shared" ca="1" si="37"/>
        <v>0.16563806542707113</v>
      </c>
      <c r="J42" s="6">
        <f t="shared" ca="1" si="37"/>
        <v>0.18874568517573614</v>
      </c>
      <c r="K42" s="6">
        <f t="shared" ca="1" si="37"/>
        <v>0.21308491265957738</v>
      </c>
      <c r="L42" s="6">
        <f t="shared" ca="1" si="37"/>
        <v>0.23859615614491411</v>
      </c>
      <c r="M42" s="6">
        <f t="shared" ca="1" si="37"/>
        <v>0.26522802122966849</v>
      </c>
      <c r="N42" s="6">
        <f t="shared" ca="1" si="37"/>
        <v>0.29293553065976369</v>
      </c>
      <c r="Q42" s="6">
        <v>2</v>
      </c>
      <c r="R42" s="6">
        <f t="shared" ref="R42:AC42" ca="1" si="38">IF(((R$69*$C$5-R42)^2-4*R17*($H$4+2*($H$10+$H$11))/1000)&lt;0,0,($C$6*R$69/$Q71/1000)*($R$5/(R$69*$C$5-R42)+2000*((R$69*$C$5-R42)-((R$69*$C$5-R42)^2-4*R17*($H$4+2*($H$10+$H$11))/1000)^(1/2))/($H$4+2*($H$10+$H$11))))</f>
        <v>0.13075236661701919</v>
      </c>
      <c r="S42" s="6">
        <f t="shared" ca="1" si="38"/>
        <v>0.13373614794756714</v>
      </c>
      <c r="T42" s="6">
        <f t="shared" ca="1" si="38"/>
        <v>0.15205194155750457</v>
      </c>
      <c r="U42" s="6">
        <f t="shared" ca="1" si="38"/>
        <v>0.17322036117645984</v>
      </c>
      <c r="V42" s="6">
        <f t="shared" ca="1" si="38"/>
        <v>0.19612652330871377</v>
      </c>
      <c r="W42" s="6">
        <f t="shared" ca="1" si="38"/>
        <v>0.22044412686383333</v>
      </c>
      <c r="X42" s="6">
        <f t="shared" ca="1" si="38"/>
        <v>0.24602166746690537</v>
      </c>
      <c r="Y42" s="6">
        <f t="shared" ca="1" si="38"/>
        <v>0.27276734225253524</v>
      </c>
      <c r="Z42" s="6">
        <f t="shared" ca="1" si="38"/>
        <v>0.30061595892010584</v>
      </c>
      <c r="AA42" s="6">
        <f t="shared" ca="1" si="38"/>
        <v>0.32951663414694093</v>
      </c>
      <c r="AB42" s="6">
        <f t="shared" ca="1" si="38"/>
        <v>0.35942730901197739</v>
      </c>
      <c r="AC42" s="6">
        <f t="shared" ca="1" si="38"/>
        <v>0.39031193893370569</v>
      </c>
    </row>
    <row r="43" spans="1:29" s="6" customFormat="1" hidden="1" x14ac:dyDescent="0.25">
      <c r="A43" s="14"/>
      <c r="B43" s="6">
        <v>200</v>
      </c>
      <c r="C43" s="6">
        <f t="shared" ref="C43:N43" ca="1" si="39">IF(((C$69*$C$5-C43)^2-4*C18*($H$4+2*($H$10+$H$11))/1000)&lt;0,0,($C$6*C$69/$F$67/1000)*($R$5/(C$69*$C$5-C43)+2000*((C$69*$C$5-C43)-((C$69*$C$5-C43)^2-4*C18*($H$4+2*($H$10+$H$11))/1000)^(1/2))/($H$4+2*($H$10+$H$11))))</f>
        <v>6.4416805995930887E-2</v>
      </c>
      <c r="D43" s="6">
        <f t="shared" ca="1" si="39"/>
        <v>7.7490880027275846E-2</v>
      </c>
      <c r="E43" s="6">
        <f t="shared" ca="1" si="39"/>
        <v>9.3440818786240262E-2</v>
      </c>
      <c r="F43" s="6">
        <f t="shared" ca="1" si="39"/>
        <v>0.11126772587768334</v>
      </c>
      <c r="G43" s="6">
        <f t="shared" ca="1" si="39"/>
        <v>0.13070886186832376</v>
      </c>
      <c r="H43" s="6">
        <f t="shared" ca="1" si="39"/>
        <v>0.15161651769416071</v>
      </c>
      <c r="I43" s="6">
        <f t="shared" ca="1" si="39"/>
        <v>0.17388560734449876</v>
      </c>
      <c r="J43" s="6">
        <f t="shared" ca="1" si="39"/>
        <v>0.19743387891915989</v>
      </c>
      <c r="K43" s="6">
        <f t="shared" ca="1" si="39"/>
        <v>0.22219374395114055</v>
      </c>
      <c r="L43" s="6">
        <f t="shared" ca="1" si="39"/>
        <v>0.24810799914788312</v>
      </c>
      <c r="M43" s="6">
        <f t="shared" ca="1" si="39"/>
        <v>0.2751272414932619</v>
      </c>
      <c r="N43" s="6">
        <f t="shared" ca="1" si="39"/>
        <v>0.30320815875253104</v>
      </c>
      <c r="Q43" s="6">
        <v>3</v>
      </c>
      <c r="R43" s="6">
        <f t="shared" ref="R43:AC43" ca="1" si="40">IF(((R$69*$C$5-R43)^2-4*R18*($H$4+2*($H$10+$H$11))/1000)&lt;0,0,($C$6*R$69/$Q72/1000)*($R$5/(R$69*$C$5-R43)+2000*((R$69*$C$5-R43)-((R$69*$C$5-R43)^2-4*R18*($H$4+2*($H$10+$H$11))/1000)^(1/2))/($H$4+2*($H$10+$H$11))))</f>
        <v>9.7445190461236023E-2</v>
      </c>
      <c r="S43" s="6">
        <f t="shared" ca="1" si="40"/>
        <v>0.1045289903228907</v>
      </c>
      <c r="T43" s="6">
        <f t="shared" ca="1" si="40"/>
        <v>0.12512967807501285</v>
      </c>
      <c r="U43" s="6">
        <f t="shared" ca="1" si="40"/>
        <v>0.14876847228207418</v>
      </c>
      <c r="V43" s="6">
        <f t="shared" ca="1" si="40"/>
        <v>0.174502759681851</v>
      </c>
      <c r="W43" s="6">
        <f t="shared" ca="1" si="40"/>
        <v>0.20202206403560405</v>
      </c>
      <c r="X43" s="6">
        <f t="shared" ca="1" si="40"/>
        <v>0.23116271511641198</v>
      </c>
      <c r="Y43" s="6">
        <f t="shared" ca="1" si="40"/>
        <v>0.2618153267975622</v>
      </c>
      <c r="Z43" s="6">
        <f t="shared" ca="1" si="40"/>
        <v>0.2938971082661983</v>
      </c>
      <c r="AA43" s="6">
        <f t="shared" ca="1" si="40"/>
        <v>0.32734094689518206</v>
      </c>
      <c r="AB43" s="6">
        <f t="shared" ca="1" si="40"/>
        <v>0.36209018092474277</v>
      </c>
      <c r="AC43" s="6">
        <f t="shared" ca="1" si="40"/>
        <v>0.39809571042579117</v>
      </c>
    </row>
    <row r="44" spans="1:29" s="6" customFormat="1" hidden="1" x14ac:dyDescent="0.25">
      <c r="A44" s="14"/>
      <c r="B44" s="6">
        <v>250</v>
      </c>
      <c r="C44" s="6">
        <f t="shared" ref="C44:N44" ca="1" si="41">IF(((C$69*$C$5-C44)^2-4*C19*($H$4+2*($H$10+$H$11))/1000)&lt;0,0,($C$6*C$69/$F$67/1000)*($R$5/(C$69*$C$5-C44)+2000*((C$69*$C$5-C44)-((C$69*$C$5-C44)^2-4*C19*($H$4+2*($H$10+$H$11))/1000)^(1/2))/($H$4+2*($H$10+$H$11))))</f>
        <v>7.0281741675176437E-2</v>
      </c>
      <c r="D44" s="6">
        <f t="shared" ca="1" si="41"/>
        <v>8.3466044566786204E-2</v>
      </c>
      <c r="E44" s="6">
        <f t="shared" ca="1" si="41"/>
        <v>9.9920124340062116E-2</v>
      </c>
      <c r="F44" s="6">
        <f t="shared" ca="1" si="41"/>
        <v>0.11826596871290779</v>
      </c>
      <c r="G44" s="6">
        <f t="shared" ca="1" si="41"/>
        <v>0.13820604106715742</v>
      </c>
      <c r="H44" s="6">
        <f t="shared" ca="1" si="41"/>
        <v>0.15958839133560876</v>
      </c>
      <c r="I44" s="6">
        <f t="shared" ca="1" si="41"/>
        <v>0.18230916752681089</v>
      </c>
      <c r="J44" s="6">
        <f t="shared" ca="1" si="41"/>
        <v>0.20628838063821811</v>
      </c>
      <c r="K44" s="6">
        <f t="shared" ca="1" si="41"/>
        <v>0.23146070300085778</v>
      </c>
      <c r="L44" s="6">
        <f t="shared" ca="1" si="41"/>
        <v>0.25777094637380804</v>
      </c>
      <c r="M44" s="6">
        <f t="shared" ca="1" si="41"/>
        <v>0.28517144467781447</v>
      </c>
      <c r="N44" s="6">
        <f t="shared" ca="1" si="41"/>
        <v>0.31362036969341045</v>
      </c>
      <c r="Q44" s="6">
        <v>4</v>
      </c>
      <c r="R44" s="6">
        <f t="shared" ref="R44:AC44" ca="1" si="42">IF(((R$69*$C$5-R44)^2-4*R19*($H$4+2*($H$10+$H$11))/1000)&lt;0,0,($C$6*R$69/$Q73/1000)*($R$5/(R$69*$C$5-R44)+2000*((R$69*$C$5-R44)-((R$69*$C$5-R44)^2-4*R19*($H$4+2*($H$10+$H$11))/1000)^(1/2))/($H$4+2*($H$10+$H$11))))</f>
        <v>8.2940782801166679E-2</v>
      </c>
      <c r="S44" s="6">
        <f t="shared" ca="1" si="42"/>
        <v>9.1189683896931897E-2</v>
      </c>
      <c r="T44" s="6">
        <f t="shared" ca="1" si="42"/>
        <v>0.11361595158688917</v>
      </c>
      <c r="U44" s="6">
        <f t="shared" ca="1" si="42"/>
        <v>0.13943050906609691</v>
      </c>
      <c r="V44" s="6">
        <f t="shared" ca="1" si="42"/>
        <v>0.1677045330961133</v>
      </c>
      <c r="W44" s="6">
        <f t="shared" ca="1" si="42"/>
        <v>0.19810626881773935</v>
      </c>
      <c r="X44" s="6">
        <f t="shared" ca="1" si="42"/>
        <v>0.23044834140130102</v>
      </c>
      <c r="Y44" s="6">
        <f t="shared" ca="1" si="42"/>
        <v>0.26460015154329708</v>
      </c>
      <c r="Z44" s="6">
        <f t="shared" ca="1" si="42"/>
        <v>0.3004606496347495</v>
      </c>
      <c r="AA44" s="6">
        <f t="shared" ca="1" si="42"/>
        <v>0.33794706336065417</v>
      </c>
      <c r="AB44" s="6">
        <f t="shared" ca="1" si="42"/>
        <v>0.37698922002777802</v>
      </c>
      <c r="AC44" s="6">
        <f t="shared" ca="1" si="42"/>
        <v>0.41752626282195293</v>
      </c>
    </row>
    <row r="45" spans="1:29" s="6" customFormat="1" hidden="1" x14ac:dyDescent="0.25">
      <c r="A45" s="14"/>
      <c r="B45" s="6">
        <v>300</v>
      </c>
      <c r="C45" s="6">
        <f t="shared" ref="C45:N45" ca="1" si="43">IF(((C$69*$C$5-C45)^2-4*C20*($H$4+2*($H$10+$H$11))/1000)&lt;0,0,($C$6*C$69/$F$67/1000)*($R$5/(C$69*$C$5-C45)+2000*((C$69*$C$5-C45)-((C$69*$C$5-C45)^2-4*C20*($H$4+2*($H$10+$H$11))/1000)^(1/2))/($H$4+2*($H$10+$H$11))))</f>
        <v>7.6683398409963952E-2</v>
      </c>
      <c r="D45" s="6">
        <f t="shared" ca="1" si="43"/>
        <v>8.9742284933864422E-2</v>
      </c>
      <c r="E45" s="6">
        <f t="shared" ca="1" si="43"/>
        <v>0.10664682193649795</v>
      </c>
      <c r="F45" s="6">
        <f t="shared" ca="1" si="43"/>
        <v>0.12548299043400873</v>
      </c>
      <c r="G45" s="6">
        <f t="shared" ca="1" si="43"/>
        <v>0.14590270516935522</v>
      </c>
      <c r="H45" s="6">
        <f t="shared" ca="1" si="43"/>
        <v>0.1677453187517679</v>
      </c>
      <c r="I45" s="6">
        <f t="shared" ca="1" si="43"/>
        <v>0.19090634833280359</v>
      </c>
      <c r="J45" s="6">
        <f t="shared" ca="1" si="43"/>
        <v>0.21530710560570934</v>
      </c>
      <c r="K45" s="6">
        <f t="shared" ca="1" si="43"/>
        <v>0.24088395945960361</v>
      </c>
      <c r="L45" s="6">
        <f t="shared" ca="1" si="43"/>
        <v>0.2675833764069549</v>
      </c>
      <c r="M45" s="6">
        <f t="shared" ca="1" si="43"/>
        <v>0.29535918289734736</v>
      </c>
      <c r="N45" s="6">
        <f t="shared" ca="1" si="43"/>
        <v>0.32417086128728662</v>
      </c>
      <c r="Q45" s="6">
        <v>5</v>
      </c>
      <c r="R45" s="6">
        <f t="shared" ref="R45:AC45" ca="1" si="44">IF(((R$69*$C$5-R45)^2-4*R20*($H$4+2*($H$10+$H$11))/1000)&lt;0,0,($C$6*R$69/$Q74/1000)*($R$5/(R$69*$C$5-R45)+2000*((R$69*$C$5-R45)-((R$69*$C$5-R45)^2-4*R20*($H$4+2*($H$10+$H$11))/1000)^(1/2))/($H$4+2*($H$10+$H$11))))</f>
        <v>7.6952496968018536E-2</v>
      </c>
      <c r="S45" s="6">
        <f t="shared" ca="1" si="44"/>
        <v>8.4200678680200536E-2</v>
      </c>
      <c r="T45" s="6">
        <f t="shared" ca="1" si="44"/>
        <v>0.10823965419713395</v>
      </c>
      <c r="U45" s="6">
        <f t="shared" ca="1" si="44"/>
        <v>0.1360636109758934</v>
      </c>
      <c r="V45" s="6">
        <f t="shared" ca="1" si="44"/>
        <v>0.1666937198777684</v>
      </c>
      <c r="W45" s="6">
        <f t="shared" ca="1" si="44"/>
        <v>0.19976411737357583</v>
      </c>
      <c r="X45" s="6">
        <f t="shared" ca="1" si="44"/>
        <v>0.23506084392509347</v>
      </c>
      <c r="Y45" s="6">
        <f t="shared" ca="1" si="44"/>
        <v>0.27243203596988252</v>
      </c>
      <c r="Z45" s="6">
        <f t="shared" ca="1" si="44"/>
        <v>0.31175926030170636</v>
      </c>
      <c r="AA45" s="6">
        <f t="shared" ca="1" si="44"/>
        <v>0.35294525399472793</v>
      </c>
      <c r="AB45" s="6">
        <f t="shared" ca="1" si="44"/>
        <v>0.3959075599369794</v>
      </c>
      <c r="AC45" s="6">
        <f t="shared" ca="1" si="44"/>
        <v>0.44057475580776573</v>
      </c>
    </row>
    <row r="46" spans="1:29" s="6" customFormat="1" hidden="1" x14ac:dyDescent="0.25">
      <c r="A46" s="14"/>
      <c r="B46" s="6">
        <v>350</v>
      </c>
      <c r="C46" s="6">
        <f t="shared" ref="C46:N46" ca="1" si="45">IF(((C$69*$C$5-C46)^2-4*C21*($H$4+2*($H$10+$H$11))/1000)&lt;0,0,($C$6*C$69/$F$67/1000)*($R$5/(C$69*$C$5-C46)+2000*((C$69*$C$5-C46)-((C$69*$C$5-C46)^2-4*C21*($H$4+2*($H$10+$H$11))/1000)^(1/2))/($H$4+2*($H$10+$H$11))))</f>
        <v>8.366912029058296E-2</v>
      </c>
      <c r="D46" s="6">
        <f t="shared" ca="1" si="45"/>
        <v>9.6318213807009903E-2</v>
      </c>
      <c r="E46" s="6">
        <f t="shared" ca="1" si="45"/>
        <v>0.11361745293026533</v>
      </c>
      <c r="F46" s="6">
        <f t="shared" ca="1" si="45"/>
        <v>0.13291546184174316</v>
      </c>
      <c r="G46" s="6">
        <f t="shared" ca="1" si="45"/>
        <v>0.15379591990753563</v>
      </c>
      <c r="H46" s="6">
        <f t="shared" ca="1" si="45"/>
        <v>0.17608474993533443</v>
      </c>
      <c r="I46" s="6">
        <f t="shared" ca="1" si="45"/>
        <v>0.1996749283659893</v>
      </c>
      <c r="J46" s="6">
        <f t="shared" ca="1" si="45"/>
        <v>0.22448810545105122</v>
      </c>
      <c r="K46" s="6">
        <f t="shared" ca="1" si="45"/>
        <v>0.25046179109544192</v>
      </c>
      <c r="L46" s="6">
        <f t="shared" ca="1" si="45"/>
        <v>0.27754375530083114</v>
      </c>
      <c r="M46" s="6">
        <f t="shared" ca="1" si="45"/>
        <v>0.30568908023299629</v>
      </c>
      <c r="N46" s="6">
        <f t="shared" ca="1" si="45"/>
        <v>0.33485839140615853</v>
      </c>
      <c r="Q46" s="6">
        <v>6</v>
      </c>
      <c r="R46" s="6">
        <f t="shared" ref="R46:AC46" ca="1" si="46">IF(((R$69*$C$5-R46)^2-4*R21*($H$4+2*($H$10+$H$11))/1000)&lt;0,0,($C$6*R$69/$Q75/1000)*($R$5/(R$69*$C$5-R46)+2000*((R$69*$C$5-R46)-((R$69*$C$5-R46)^2-4*R21*($H$4+2*($H$10+$H$11))/1000)^(1/2))/($H$4+2*($H$10+$H$11))))</f>
        <v>8.1264085124559585E-2</v>
      </c>
      <c r="S46" s="6">
        <f t="shared" ca="1" si="46"/>
        <v>8.0439949333970459E-2</v>
      </c>
      <c r="T46" s="6">
        <f t="shared" ca="1" si="46"/>
        <v>0.10595179879001691</v>
      </c>
      <c r="U46" s="6">
        <f t="shared" ca="1" si="46"/>
        <v>0.13566898092193772</v>
      </c>
      <c r="V46" s="6">
        <f t="shared" ca="1" si="46"/>
        <v>0.16852199202794699</v>
      </c>
      <c r="W46" s="6">
        <f t="shared" ca="1" si="46"/>
        <v>0.20410403774488153</v>
      </c>
      <c r="X46" s="6">
        <f t="shared" ca="1" si="46"/>
        <v>0.24217362017284419</v>
      </c>
      <c r="Y46" s="6">
        <f t="shared" ca="1" si="46"/>
        <v>0.28255816250991334</v>
      </c>
      <c r="Z46" s="6">
        <f t="shared" ca="1" si="46"/>
        <v>0.32512281389763309</v>
      </c>
      <c r="AA46" s="6">
        <f t="shared" ca="1" si="46"/>
        <v>0.36975686515617368</v>
      </c>
      <c r="AB46" s="6">
        <f t="shared" ca="1" si="46"/>
        <v>0.41636658431447537</v>
      </c>
      <c r="AC46" s="6">
        <f t="shared" ca="1" si="46"/>
        <v>0.4648709217078501</v>
      </c>
    </row>
    <row r="47" spans="1:29" s="6" customFormat="1" hidden="1" x14ac:dyDescent="0.25">
      <c r="A47" s="14"/>
      <c r="B47" s="6">
        <v>400</v>
      </c>
      <c r="C47" s="6">
        <f t="shared" ref="C47:N47" ca="1" si="47">IF(((C$69*$C$5-C47)^2-4*C22*($H$4+2*($H$10+$H$11))/1000)&lt;0,0,($C$6*C$69/$F$67/1000)*($R$5/(C$69*$C$5-C47)+2000*((C$69*$C$5-C47)-((C$69*$C$5-C47)^2-4*C22*($H$4+2*($H$10+$H$11))/1000)^(1/2))/($H$4+2*($H$10+$H$11))))</f>
        <v>9.1303582161028518E-2</v>
      </c>
      <c r="D47" s="6">
        <f t="shared" ca="1" si="47"/>
        <v>0.10319382103937319</v>
      </c>
      <c r="E47" s="6">
        <f t="shared" ca="1" si="47"/>
        <v>0.12082923255617535</v>
      </c>
      <c r="F47" s="6">
        <f t="shared" ca="1" si="47"/>
        <v>0.14056047727563151</v>
      </c>
      <c r="G47" s="6">
        <f t="shared" ca="1" si="47"/>
        <v>0.16188304325745689</v>
      </c>
      <c r="H47" s="6">
        <f t="shared" ca="1" si="47"/>
        <v>0.1846043478741034</v>
      </c>
      <c r="I47" s="6">
        <f t="shared" ca="1" si="47"/>
        <v>0.20861284754292864</v>
      </c>
      <c r="J47" s="6">
        <f t="shared" ca="1" si="47"/>
        <v>0.23382955760017424</v>
      </c>
      <c r="K47" s="6">
        <f t="shared" ca="1" si="47"/>
        <v>0.26019257609002006</v>
      </c>
      <c r="L47" s="6">
        <f t="shared" ca="1" si="47"/>
        <v>0.28765063081056291</v>
      </c>
      <c r="M47" s="6">
        <f t="shared" ca="1" si="47"/>
        <v>0.31615982831854023</v>
      </c>
      <c r="N47" s="6">
        <f t="shared" ca="1" si="47"/>
        <v>0.34568177454584398</v>
      </c>
      <c r="Q47" s="6">
        <v>7</v>
      </c>
      <c r="R47" s="6">
        <f t="shared" ref="R47:AC47" ca="1" si="48">IF(((R$69*$C$5-R47)^2-4*R22*($H$4+2*($H$10+$H$11))/1000)&lt;0,0,($C$6*R$69/$Q76/1000)*($R$5/(R$69*$C$5-R47)+2000*((R$69*$C$5-R47)-((R$69*$C$5-R47)^2-4*R22*($H$4+2*($H$10+$H$11))/1000)^(1/2))/($H$4+2*($H$10+$H$11))))</f>
        <v>0</v>
      </c>
      <c r="S47" s="6">
        <f t="shared" ca="1" si="48"/>
        <v>7.8599067907339129E-2</v>
      </c>
      <c r="T47" s="6">
        <f t="shared" ca="1" si="48"/>
        <v>0.10546923929827827</v>
      </c>
      <c r="U47" s="6">
        <f t="shared" ca="1" si="48"/>
        <v>0.13698995257039837</v>
      </c>
      <c r="V47" s="6">
        <f t="shared" ca="1" si="48"/>
        <v>0.17196348696178088</v>
      </c>
      <c r="W47" s="6">
        <f t="shared" ca="1" si="48"/>
        <v>0.20993658097922338</v>
      </c>
      <c r="X47" s="6">
        <f t="shared" ca="1" si="48"/>
        <v>0.25063954125892463</v>
      </c>
      <c r="Y47" s="6">
        <f t="shared" ca="1" si="48"/>
        <v>0.29387958112990115</v>
      </c>
      <c r="Z47" s="6">
        <f t="shared" ca="1" si="48"/>
        <v>0.33950622769937611</v>
      </c>
      <c r="AA47" s="6">
        <f t="shared" ca="1" si="48"/>
        <v>0.38739615968423263</v>
      </c>
      <c r="AB47" s="6">
        <f t="shared" ca="1" si="48"/>
        <v>0.4374451629596855</v>
      </c>
      <c r="AC47" s="6">
        <f t="shared" ca="1" si="48"/>
        <v>0.48956328882578187</v>
      </c>
    </row>
    <row r="48" spans="1:29" s="6" customFormat="1" hidden="1" x14ac:dyDescent="0.25">
      <c r="A48" s="14"/>
      <c r="B48" s="6">
        <v>450</v>
      </c>
      <c r="C48" s="6">
        <f t="shared" ref="C48:N48" ca="1" si="49">IF(((C$69*$C$5-C48)^2-4*C23*($H$4+2*($H$10+$H$11))/1000)&lt;0,0,($C$6*C$69/$F$67/1000)*($R$5/(C$69*$C$5-C48)+2000*((C$69*$C$5-C48)-((C$69*$C$5-C48)^2-4*C23*($H$4+2*($H$10+$H$11))/1000)^(1/2))/($H$4+2*($H$10+$H$11))))</f>
        <v>9.9675259099772401E-2</v>
      </c>
      <c r="D48" s="6">
        <f t="shared" ca="1" si="49"/>
        <v>0.11037036733623391</v>
      </c>
      <c r="E48" s="6">
        <f t="shared" ca="1" si="49"/>
        <v>0.12827997504907987</v>
      </c>
      <c r="F48" s="6">
        <f t="shared" ca="1" si="49"/>
        <v>0.14841550941262016</v>
      </c>
      <c r="G48" s="6">
        <f t="shared" ca="1" si="49"/>
        <v>0.17016169687786112</v>
      </c>
      <c r="H48" s="6">
        <f t="shared" ca="1" si="49"/>
        <v>0.19330196959913434</v>
      </c>
      <c r="I48" s="6">
        <f t="shared" ca="1" si="49"/>
        <v>0.21771819398329373</v>
      </c>
      <c r="J48" s="6">
        <f t="shared" ca="1" si="49"/>
        <v>0.24332975588832575</v>
      </c>
      <c r="K48" s="6">
        <f t="shared" ca="1" si="49"/>
        <v>0.27007478612050356</v>
      </c>
      <c r="L48" s="6">
        <f t="shared" ca="1" si="49"/>
        <v>0.29790262716897542</v>
      </c>
      <c r="M48" s="6">
        <f t="shared" ca="1" si="49"/>
        <v>0.32677018231298671</v>
      </c>
      <c r="N48" s="6">
        <f t="shared" ca="1" si="49"/>
        <v>0.3566398786648004</v>
      </c>
      <c r="Q48" s="6">
        <v>8</v>
      </c>
      <c r="R48" s="6">
        <f t="shared" ref="R48:AC48" ca="1" si="50">IF(((R$69*$C$5-R48)^2-4*R23*($H$4+2*($H$10+$H$11))/1000)&lt;0,0,($C$6*R$69/$Q77/1000)*($R$5/(R$69*$C$5-R48)+2000*((R$69*$C$5-R48)-((R$69*$C$5-R48)^2-4*R23*($H$4+2*($H$10+$H$11))/1000)^(1/2))/($H$4+2*($H$10+$H$11))))</f>
        <v>0</v>
      </c>
      <c r="S48" s="6">
        <f t="shared" ca="1" si="50"/>
        <v>7.8052817119439913E-2</v>
      </c>
      <c r="T48" s="6">
        <f t="shared" ca="1" si="50"/>
        <v>0.10616974225186621</v>
      </c>
      <c r="U48" s="6">
        <f t="shared" ca="1" si="50"/>
        <v>0.13941970272563484</v>
      </c>
      <c r="V48" s="6">
        <f t="shared" ca="1" si="50"/>
        <v>0.17643207472878664</v>
      </c>
      <c r="W48" s="6">
        <f t="shared" ca="1" si="50"/>
        <v>0.21670093998213941</v>
      </c>
      <c r="X48" s="6">
        <f t="shared" ca="1" si="50"/>
        <v>0.25992745871600259</v>
      </c>
      <c r="Y48" s="6">
        <f t="shared" ca="1" si="50"/>
        <v>0.3058988922969238</v>
      </c>
      <c r="Z48" s="6">
        <f t="shared" ca="1" si="50"/>
        <v>0.35444971903012867</v>
      </c>
      <c r="AA48" s="6">
        <f t="shared" ca="1" si="50"/>
        <v>0.4054446385568713</v>
      </c>
      <c r="AB48" s="6">
        <f t="shared" ca="1" si="50"/>
        <v>0.4587695664477438</v>
      </c>
      <c r="AC48" s="6">
        <f t="shared" ca="1" si="50"/>
        <v>0.51432622097002634</v>
      </c>
    </row>
    <row r="49" spans="1:29" s="6" customFormat="1" hidden="1" x14ac:dyDescent="0.25">
      <c r="A49" s="14"/>
      <c r="B49" s="6">
        <v>500</v>
      </c>
      <c r="C49" s="6">
        <f t="shared" ref="C49:N49" ca="1" si="51">IF(((C$69*$C$5-C49)^2-4*C24*($H$4+2*($H$10+$H$11))/1000)&lt;0,0,($C$6*C$69/$F$67/1000)*($R$5/(C$69*$C$5-C49)+2000*((C$69*$C$5-C49)-((C$69*$C$5-C49)^2-4*C24*($H$4+2*($H$10+$H$11))/1000)^(1/2))/($H$4+2*($H$10+$H$11))))</f>
        <v>0.1089073358295107</v>
      </c>
      <c r="D49" s="6">
        <f t="shared" ca="1" si="51"/>
        <v>0.11785031828083913</v>
      </c>
      <c r="E49" s="6">
        <f t="shared" ca="1" si="51"/>
        <v>0.13596803422804807</v>
      </c>
      <c r="F49" s="6">
        <f t="shared" ca="1" si="51"/>
        <v>0.15647837171463869</v>
      </c>
      <c r="G49" s="6">
        <f t="shared" ca="1" si="51"/>
        <v>0.17862974175105825</v>
      </c>
      <c r="H49" s="6">
        <f t="shared" ca="1" si="51"/>
        <v>0.20217564971406457</v>
      </c>
      <c r="I49" s="6">
        <f t="shared" ca="1" si="51"/>
        <v>0.22698919244988772</v>
      </c>
      <c r="J49" s="6">
        <f t="shared" ca="1" si="51"/>
        <v>0.25298710218559833</v>
      </c>
      <c r="K49" s="6">
        <f t="shared" ca="1" si="51"/>
        <v>0.28010698012823004</v>
      </c>
      <c r="L49" s="6">
        <f t="shared" ca="1" si="51"/>
        <v>0.30829844034301029</v>
      </c>
      <c r="M49" s="6">
        <f t="shared" ca="1" si="51"/>
        <v>0.33751895721809883</v>
      </c>
      <c r="N49" s="6">
        <f t="shared" ca="1" si="51"/>
        <v>0.36773162227638434</v>
      </c>
      <c r="Q49" s="6">
        <v>9</v>
      </c>
      <c r="R49" s="6">
        <f t="shared" ref="R49:AC49" ca="1" si="52">IF(((R$69*$C$5-R49)^2-4*R24*($H$4+2*($H$10+$H$11))/1000)&lt;0,0,($C$6*R$69/$Q78/1000)*($R$5/(R$69*$C$5-R49)+2000*((R$69*$C$5-R49)-((R$69*$C$5-R49)^2-4*R24*($H$4+2*($H$10+$H$11))/1000)^(1/2))/($H$4+2*($H$10+$H$11))))</f>
        <v>0</v>
      </c>
      <c r="S49" s="6">
        <f t="shared" ca="1" si="52"/>
        <v>7.8489152817365779E-2</v>
      </c>
      <c r="T49" s="6">
        <f t="shared" ca="1" si="52"/>
        <v>0.10772658777487591</v>
      </c>
      <c r="U49" s="6">
        <f t="shared" ca="1" si="52"/>
        <v>0.1426398968575035</v>
      </c>
      <c r="V49" s="6">
        <f t="shared" ca="1" si="52"/>
        <v>0.1816237878078307</v>
      </c>
      <c r="W49" s="6">
        <f t="shared" ca="1" si="52"/>
        <v>0.22411152094298342</v>
      </c>
      <c r="X49" s="6">
        <f t="shared" ca="1" si="52"/>
        <v>0.26977352314549202</v>
      </c>
      <c r="Y49" s="6">
        <f t="shared" ca="1" si="52"/>
        <v>0.31837701900604426</v>
      </c>
      <c r="Z49" s="6">
        <f t="shared" ca="1" si="52"/>
        <v>0.36974177393852137</v>
      </c>
      <c r="AA49" s="6">
        <f t="shared" ca="1" si="52"/>
        <v>0.42372095703719526</v>
      </c>
      <c r="AB49" s="6">
        <f t="shared" ca="1" si="52"/>
        <v>0.48019107361611874</v>
      </c>
      <c r="AC49" s="6">
        <f t="shared" ca="1" si="52"/>
        <v>0.53904594603702816</v>
      </c>
    </row>
    <row r="50" spans="1:29" s="6" customFormat="1" hidden="1" x14ac:dyDescent="0.25">
      <c r="A50" s="14"/>
      <c r="B50" s="6">
        <v>550</v>
      </c>
      <c r="C50" s="6">
        <f t="shared" ref="C50:N50" ca="1" si="53">IF(((C$69*$C$5-C50)^2-4*C25*($H$4+2*($H$10+$H$11))/1000)&lt;0,0,($C$6*C$69/$F$67/1000)*($R$5/(C$69*$C$5-C50)+2000*((C$69*$C$5-C50)-((C$69*$C$5-C50)^2-4*C25*($H$4+2*($H$10+$H$11))/1000)^(1/2))/($H$4+2*($H$10+$H$11))))</f>
        <v>0.11917701062838948</v>
      </c>
      <c r="D50" s="6">
        <f t="shared" ca="1" si="53"/>
        <v>0.1256373109022515</v>
      </c>
      <c r="E50" s="6">
        <f t="shared" ca="1" si="53"/>
        <v>0.14389225617694171</v>
      </c>
      <c r="F50" s="6">
        <f t="shared" ca="1" si="53"/>
        <v>0.16474718702661365</v>
      </c>
      <c r="G50" s="6">
        <f t="shared" ca="1" si="53"/>
        <v>0.18728525728721249</v>
      </c>
      <c r="H50" s="6">
        <f t="shared" ca="1" si="53"/>
        <v>0.21122358601243374</v>
      </c>
      <c r="I50" s="6">
        <f t="shared" ca="1" si="53"/>
        <v>0.23642419411486376</v>
      </c>
      <c r="J50" s="6">
        <f t="shared" ca="1" si="53"/>
        <v>0.26280009890107336</v>
      </c>
      <c r="K50" s="6">
        <f t="shared" ca="1" si="53"/>
        <v>0.29028779868997434</v>
      </c>
      <c r="L50" s="6">
        <f t="shared" ca="1" si="53"/>
        <v>0.31883683371575222</v>
      </c>
      <c r="M50" s="6">
        <f t="shared" ca="1" si="53"/>
        <v>0.34840502450414851</v>
      </c>
      <c r="N50" s="6">
        <f t="shared" ca="1" si="53"/>
        <v>0.37895597176925844</v>
      </c>
      <c r="Q50" s="6">
        <v>10</v>
      </c>
      <c r="R50" s="6">
        <f t="shared" ref="R50:AC50" ca="1" si="54">IF(((R$69*$C$5-R50)^2-4*R25*($H$4+2*($H$10+$H$11))/1000)&lt;0,0,($C$6*R$69/$Q79/1000)*($R$5/(R$69*$C$5-R50)+2000*((R$69*$C$5-R50)-((R$69*$C$5-R50)^2-4*R25*($H$4+2*($H$10+$H$11))/1000)^(1/2))/($H$4+2*($H$10+$H$11))))</f>
        <v>0</v>
      </c>
      <c r="S50" s="6">
        <f t="shared" ca="1" si="54"/>
        <v>7.9769276992680702E-2</v>
      </c>
      <c r="T50" s="6">
        <f t="shared" ca="1" si="54"/>
        <v>0.10996440266808029</v>
      </c>
      <c r="U50" s="6">
        <f t="shared" ca="1" si="54"/>
        <v>0.14647772394877456</v>
      </c>
      <c r="V50" s="6">
        <f t="shared" ca="1" si="54"/>
        <v>0.18737558454340375</v>
      </c>
      <c r="W50" s="6">
        <f t="shared" ca="1" si="54"/>
        <v>0.23201884402755893</v>
      </c>
      <c r="X50" s="6">
        <f t="shared" ca="1" si="54"/>
        <v>0.2800446422709843</v>
      </c>
      <c r="Y50" s="6">
        <f t="shared" ca="1" si="54"/>
        <v>0.33119964675551261</v>
      </c>
      <c r="Z50" s="6">
        <f t="shared" ca="1" si="54"/>
        <v>0.38528898882575474</v>
      </c>
      <c r="AA50" s="6">
        <f t="shared" ca="1" si="54"/>
        <v>0.44215457777022449</v>
      </c>
      <c r="AB50" s="6">
        <f t="shared" ca="1" si="54"/>
        <v>0.50166383373728085</v>
      </c>
      <c r="AC50" s="6">
        <f t="shared" ca="1" si="54"/>
        <v>0.56370301187775362</v>
      </c>
    </row>
    <row r="51" spans="1:29" s="6" customFormat="1" hidden="1" x14ac:dyDescent="0.25">
      <c r="A51" s="14"/>
      <c r="B51" s="6">
        <v>600</v>
      </c>
      <c r="C51" s="6">
        <f t="shared" ref="C51:N51" ca="1" si="55">IF(((C$69*$C$5-C51)^2-4*C26*($H$4+2*($H$10+$H$11))/1000)&lt;0,0,($C$6*C$69/$F$67/1000)*($R$5/(C$69*$C$5-C51)+2000*((C$69*$C$5-C51)-((C$69*$C$5-C51)^2-4*C26*($H$4+2*($H$10+$H$11))/1000)^(1/2))/($H$4+2*($H$10+$H$11))))</f>
        <v>0.13075236661701919</v>
      </c>
      <c r="D51" s="6">
        <f t="shared" ca="1" si="55"/>
        <v>0.13373614794756714</v>
      </c>
      <c r="E51" s="6">
        <f t="shared" ca="1" si="55"/>
        <v>0.15205194155750457</v>
      </c>
      <c r="F51" s="6">
        <f t="shared" ca="1" si="55"/>
        <v>0.17322036117645984</v>
      </c>
      <c r="G51" s="6">
        <f t="shared" ca="1" si="55"/>
        <v>0.19612652330871377</v>
      </c>
      <c r="H51" s="6">
        <f t="shared" ca="1" si="55"/>
        <v>0.22044412686383333</v>
      </c>
      <c r="I51" s="6">
        <f t="shared" ca="1" si="55"/>
        <v>0.24602166746690537</v>
      </c>
      <c r="J51" s="6">
        <f t="shared" ca="1" si="55"/>
        <v>0.27276734225253524</v>
      </c>
      <c r="K51" s="6">
        <f t="shared" ca="1" si="55"/>
        <v>0.30061595892010584</v>
      </c>
      <c r="L51" s="6">
        <f t="shared" ca="1" si="55"/>
        <v>0.32951663414694093</v>
      </c>
      <c r="M51" s="6">
        <f t="shared" ca="1" si="55"/>
        <v>0.35942730901197739</v>
      </c>
      <c r="N51" s="6">
        <f t="shared" ca="1" si="55"/>
        <v>0.39031193893370569</v>
      </c>
      <c r="Q51" s="6">
        <v>11</v>
      </c>
      <c r="R51" s="6">
        <f t="shared" ref="R51:AC51" ca="1" si="56">IF(((R$69*$C$5-R51)^2-4*R26*($H$4+2*($H$10+$H$11))/1000)&lt;0,0,($C$6*R$69/$Q80/1000)*($R$5/(R$69*$C$5-R51)+2000*((R$69*$C$5-R51)-((R$69*$C$5-R51)^2-4*R26*($H$4+2*($H$10+$H$11))/1000)^(1/2))/($H$4+2*($H$10+$H$11))))</f>
        <v>0</v>
      </c>
      <c r="S51" s="6">
        <f t="shared" ca="1" si="56"/>
        <v>8.1878418531618188E-2</v>
      </c>
      <c r="T51" s="6">
        <f t="shared" ca="1" si="56"/>
        <v>0.11279582979573258</v>
      </c>
      <c r="U51" s="6">
        <f t="shared" ca="1" si="56"/>
        <v>0.15084224597952237</v>
      </c>
      <c r="V51" s="6">
        <f t="shared" ca="1" si="56"/>
        <v>0.19360242335511776</v>
      </c>
      <c r="W51" s="6">
        <f t="shared" ca="1" si="56"/>
        <v>0.24034776621349538</v>
      </c>
      <c r="X51" s="6">
        <f t="shared" ca="1" si="56"/>
        <v>0.29067816742231972</v>
      </c>
      <c r="Y51" s="6">
        <f t="shared" ca="1" si="56"/>
        <v>0.3443186519691262</v>
      </c>
      <c r="Z51" s="6">
        <f t="shared" ca="1" si="56"/>
        <v>0.40105949900670934</v>
      </c>
      <c r="AA51" s="6">
        <f t="shared" ca="1" si="56"/>
        <v>0.46073144307638231</v>
      </c>
      <c r="AB51" s="6">
        <f t="shared" ca="1" si="56"/>
        <v>0.52319301405308716</v>
      </c>
      <c r="AC51" s="6">
        <f t="shared" ca="1" si="56"/>
        <v>0.58832313003742831</v>
      </c>
    </row>
    <row r="52" spans="1:29" s="6" customFormat="1" hidden="1" x14ac:dyDescent="0.25">
      <c r="A52" s="14"/>
      <c r="B52" s="6">
        <v>650</v>
      </c>
      <c r="C52" s="6">
        <f t="shared" ref="C52:N52" ca="1" si="57">IF(((C$69*$C$5-C52)^2-4*C27*($H$4+2*($H$10+$H$11))/1000)&lt;0,0,($C$6*C$69/$F$67/1000)*($R$5/(C$69*$C$5-C52)+2000*((C$69*$C$5-C52)-((C$69*$C$5-C52)^2-4*C27*($H$4+2*($H$10+$H$11))/1000)^(1/2))/($H$4+2*($H$10+$H$11))))</f>
        <v>0.14407111944019688</v>
      </c>
      <c r="D52" s="6">
        <f t="shared" ca="1" si="57"/>
        <v>0.14215281711760866</v>
      </c>
      <c r="E52" s="6">
        <f t="shared" ca="1" si="57"/>
        <v>0.16044681572793448</v>
      </c>
      <c r="F52" s="6">
        <f t="shared" ca="1" si="57"/>
        <v>0.18189656068636023</v>
      </c>
      <c r="G52" s="6">
        <f t="shared" ca="1" si="57"/>
        <v>0.20515200444819567</v>
      </c>
      <c r="H52" s="6">
        <f t="shared" ca="1" si="57"/>
        <v>0.22983576010776924</v>
      </c>
      <c r="I52" s="6">
        <f t="shared" ca="1" si="57"/>
        <v>0.25578019020483767</v>
      </c>
      <c r="J52" s="6">
        <f t="shared" ca="1" si="57"/>
        <v>0.28288751620613145</v>
      </c>
      <c r="K52" s="6">
        <f t="shared" ca="1" si="57"/>
        <v>0.31109024984201283</v>
      </c>
      <c r="L52" s="6">
        <f t="shared" ca="1" si="57"/>
        <v>0.34033672837097667</v>
      </c>
      <c r="M52" s="6">
        <f t="shared" ca="1" si="57"/>
        <v>0.37058478610337475</v>
      </c>
      <c r="N52" s="6">
        <f t="shared" ca="1" si="57"/>
        <v>0.40179857867419805</v>
      </c>
      <c r="Q52" s="6">
        <v>12</v>
      </c>
      <c r="R52" s="6">
        <f t="shared" ref="R52:AC52" ca="1" si="58">IF(((R$69*$C$5-R52)^2-4*R27*($H$4+2*($H$10+$H$11))/1000)&lt;0,0,($C$6*R$69/$Q81/1000)*($R$5/(R$69*$C$5-R52)+2000*((R$69*$C$5-R52)-((R$69*$C$5-R52)^2-4*R27*($H$4+2*($H$10+$H$11))/1000)^(1/2))/($H$4+2*($H$10+$H$11))))</f>
        <v>0</v>
      </c>
      <c r="S52" s="6">
        <f t="shared" ca="1" si="58"/>
        <v>8.4932295977271116E-2</v>
      </c>
      <c r="T52" s="6">
        <f t="shared" ca="1" si="58"/>
        <v>0.1161928942075382</v>
      </c>
      <c r="U52" s="6">
        <f t="shared" ca="1" si="58"/>
        <v>0.15569402393778162</v>
      </c>
      <c r="V52" s="6">
        <f t="shared" ca="1" si="58"/>
        <v>0.20026694248014371</v>
      </c>
      <c r="W52" s="6">
        <f t="shared" ca="1" si="58"/>
        <v>0.24906772111002706</v>
      </c>
      <c r="X52" s="6">
        <f t="shared" ca="1" si="58"/>
        <v>0.30165297281413833</v>
      </c>
      <c r="Y52" s="6">
        <f t="shared" ca="1" si="58"/>
        <v>0.35772422940102971</v>
      </c>
      <c r="Z52" s="6">
        <f t="shared" ca="1" si="58"/>
        <v>0.41705633137833503</v>
      </c>
      <c r="AA52" s="6">
        <f t="shared" ca="1" si="58"/>
        <v>0.47946871195404478</v>
      </c>
      <c r="AB52" s="6">
        <f t="shared" ca="1" si="58"/>
        <v>0.54481106792394352</v>
      </c>
      <c r="AC52" s="6">
        <f t="shared" ca="1" si="58"/>
        <v>0.61295511260402125</v>
      </c>
    </row>
    <row r="53" spans="1:29" s="6" customFormat="1" hidden="1" x14ac:dyDescent="0.25">
      <c r="A53" s="14"/>
      <c r="B53" s="6">
        <v>700</v>
      </c>
      <c r="C53" s="6">
        <f t="shared" ref="C53:N53" ca="1" si="59">IF(((C$69*$C$5-C53)^2-4*C28*($H$4+2*($H$10+$H$11))/1000)&lt;0,0,($C$6*C$69/$F$67/1000)*($R$5/(C$69*$C$5-C53)+2000*((C$69*$C$5-C53)-((C$69*$C$5-C53)^2-4*C28*($H$4+2*($H$10+$H$11))/1000)^(1/2))/($H$4+2*($H$10+$H$11))))</f>
        <v>0.15993974853681789</v>
      </c>
      <c r="D53" s="6">
        <f t="shared" ca="1" si="59"/>
        <v>0.15089453411745438</v>
      </c>
      <c r="E53" s="6">
        <f t="shared" ca="1" si="59"/>
        <v>0.16907700529768335</v>
      </c>
      <c r="F53" s="6">
        <f t="shared" ca="1" si="59"/>
        <v>0.19077469389727425</v>
      </c>
      <c r="G53" s="6">
        <f t="shared" ca="1" si="59"/>
        <v>0.21436033658422693</v>
      </c>
      <c r="H53" s="6">
        <f t="shared" ca="1" si="59"/>
        <v>0.23939710324015648</v>
      </c>
      <c r="I53" s="6">
        <f t="shared" ca="1" si="59"/>
        <v>0.26569844198822318</v>
      </c>
      <c r="J53" s="6">
        <f t="shared" ca="1" si="59"/>
        <v>0.29315938700456928</v>
      </c>
      <c r="K53" s="6">
        <f t="shared" ca="1" si="59"/>
        <v>0.32170952817580933</v>
      </c>
      <c r="L53" s="6">
        <f t="shared" ca="1" si="59"/>
        <v>0.35129605969679967</v>
      </c>
      <c r="M53" s="6">
        <f t="shared" ca="1" si="59"/>
        <v>0.38187647903508737</v>
      </c>
      <c r="N53" s="6">
        <f t="shared" ca="1" si="59"/>
        <v>0.41341498689093442</v>
      </c>
    </row>
    <row r="54" spans="1:29" s="6" customFormat="1" hidden="1" x14ac:dyDescent="0.25">
      <c r="A54" s="14"/>
      <c r="B54" s="6">
        <v>750</v>
      </c>
      <c r="C54" s="6">
        <f t="shared" ref="C54:N54" ca="1" si="60">IF(((C$69*$C$5-C54)^2-4*C29*($H$4+2*($H$10+$H$11))/1000)&lt;0,0,($C$6*C$69/$F$67/1000)*($R$5/(C$69*$C$5-C54)+2000*((C$69*$C$5-C54)-((C$69*$C$5-C54)^2-4*C29*($H$4+2*($H$10+$H$11))/1000)^(1/2))/($H$4+2*($H$10+$H$11))))</f>
        <v>0.18020485769064171</v>
      </c>
      <c r="D54" s="6">
        <f t="shared" ca="1" si="60"/>
        <v>0.15996980969315142</v>
      </c>
      <c r="E54" s="6">
        <f t="shared" ca="1" si="60"/>
        <v>0.17794302008461479</v>
      </c>
      <c r="F54" s="6">
        <f t="shared" ca="1" si="60"/>
        <v>0.19985389495442379</v>
      </c>
      <c r="G54" s="6">
        <f t="shared" ca="1" si="60"/>
        <v>0.2237503150091768</v>
      </c>
      <c r="H54" s="6">
        <f t="shared" ca="1" si="60"/>
        <v>0.2491268947140626</v>
      </c>
      <c r="I54" s="6">
        <f t="shared" ca="1" si="60"/>
        <v>0.27577519793573413</v>
      </c>
      <c r="J54" s="6">
        <f t="shared" ca="1" si="60"/>
        <v>0.30358179821433007</v>
      </c>
      <c r="K54" s="6">
        <f t="shared" ca="1" si="60"/>
        <v>0.33247271449646865</v>
      </c>
      <c r="L54" s="6">
        <f t="shared" ca="1" si="60"/>
        <v>0.36239362497848754</v>
      </c>
      <c r="M54" s="6">
        <f t="shared" ca="1" si="60"/>
        <v>0.39330145653485321</v>
      </c>
      <c r="N54" s="6">
        <f t="shared" ca="1" si="60"/>
        <v>0.42516029851471815</v>
      </c>
    </row>
    <row r="55" spans="1:29" s="6" customFormat="1" hidden="1" x14ac:dyDescent="0.25">
      <c r="A55" s="14"/>
      <c r="B55" s="6">
        <v>800</v>
      </c>
      <c r="C55" s="6">
        <f t="shared" ref="C55:N55" ca="1" si="61">IF(((C$69*$C$5-C55)^2-4*C30*($H$4+2*($H$10+$H$11))/1000)&lt;0,0,($C$6*C$69/$F$67/1000)*($R$5/(C$69*$C$5-C55)+2000*((C$69*$C$5-C55)-((C$69*$C$5-C55)^2-4*C30*($H$4+2*($H$10+$H$11))/1000)^(1/2))/($H$4+2*($H$10+$H$11))))</f>
        <v>0.2122943438497078</v>
      </c>
      <c r="D55" s="6">
        <f t="shared" ca="1" si="61"/>
        <v>0.16938854203416204</v>
      </c>
      <c r="E55" s="6">
        <f t="shared" ca="1" si="61"/>
        <v>0.18704573969093152</v>
      </c>
      <c r="F55" s="6">
        <f t="shared" ca="1" si="61"/>
        <v>0.2091335102132191</v>
      </c>
      <c r="G55" s="6">
        <f t="shared" ca="1" si="61"/>
        <v>0.23332088407923107</v>
      </c>
      <c r="H55" s="6">
        <f t="shared" ca="1" si="61"/>
        <v>0.25902398620592609</v>
      </c>
      <c r="I55" s="6">
        <f t="shared" ca="1" si="61"/>
        <v>0.28600932277880453</v>
      </c>
      <c r="J55" s="6">
        <f t="shared" ca="1" si="61"/>
        <v>0.31415366623215835</v>
      </c>
      <c r="K55" s="6">
        <f t="shared" ca="1" si="61"/>
        <v>0.34337878972255975</v>
      </c>
      <c r="L55" s="6">
        <f t="shared" ca="1" si="61"/>
        <v>0.37362847182935527</v>
      </c>
      <c r="M55" s="6">
        <f t="shared" ca="1" si="61"/>
        <v>0.40485883056026994</v>
      </c>
      <c r="N55" s="6">
        <f t="shared" ca="1" si="61"/>
        <v>0.43703368568164841</v>
      </c>
    </row>
    <row r="56" spans="1:29" s="6" customFormat="1" hidden="1" x14ac:dyDescent="0.25">
      <c r="A56" s="14"/>
      <c r="B56" s="6">
        <v>850</v>
      </c>
      <c r="C56" s="6">
        <f t="shared" ref="C56:N56" ca="1" si="62">IF(((C$69*$C$5-C56)^2-4*C31*($H$4+2*($H$10+$H$11))/1000)&lt;0,0,($C$6*C$69/$F$67/1000)*($R$5/(C$69*$C$5-C56)+2000*((C$69*$C$5-C56)-((C$69*$C$5-C56)^2-4*C31*($H$4+2*($H$10+$H$11))/1000)^(1/2))/($H$4+2*($H$10+$H$11))))</f>
        <v>0.19964775145386512</v>
      </c>
      <c r="D56" s="6">
        <f t="shared" ca="1" si="62"/>
        <v>0.17916213714297619</v>
      </c>
      <c r="E56" s="6">
        <f t="shared" ca="1" si="62"/>
        <v>0.19638640410460692</v>
      </c>
      <c r="F56" s="6">
        <f t="shared" ca="1" si="62"/>
        <v>0.21861308671161048</v>
      </c>
      <c r="G56" s="6">
        <f t="shared" ca="1" si="62"/>
        <v>0.24307112814062951</v>
      </c>
      <c r="H56" s="6">
        <f t="shared" ca="1" si="62"/>
        <v>0.26908733572244187</v>
      </c>
      <c r="I56" s="6">
        <f t="shared" ca="1" si="62"/>
        <v>0.29639976559184361</v>
      </c>
      <c r="J56" s="6">
        <f t="shared" ca="1" si="62"/>
        <v>0.32487397619940078</v>
      </c>
      <c r="K56" s="6">
        <f t="shared" ca="1" si="62"/>
        <v>0.35442679190092879</v>
      </c>
      <c r="L56" s="6">
        <f t="shared" ca="1" si="62"/>
        <v>0.38499969605548978</v>
      </c>
      <c r="M56" s="6">
        <f t="shared" ca="1" si="62"/>
        <v>0.41654775422354823</v>
      </c>
      <c r="N56" s="6">
        <f t="shared" ca="1" si="62"/>
        <v>0.44903435603519398</v>
      </c>
    </row>
    <row r="57" spans="1:29" s="6" customFormat="1" hidden="1" x14ac:dyDescent="0.25">
      <c r="A57" s="14"/>
      <c r="B57" s="6">
        <v>900</v>
      </c>
      <c r="C57" s="6">
        <f t="shared" ref="C57:N57" ca="1" si="63">IF(((C$69*$C$5-C57)^2-4*C32*($H$4+2*($H$10+$H$11))/1000)&lt;0,0,($C$6*C$69/$F$67/1000)*($R$5/(C$69*$C$5-C57)+2000*((C$69*$C$5-C57)-((C$69*$C$5-C57)^2-4*C32*($H$4+2*($H$10+$H$11))/1000)^(1/2))/($H$4+2*($H$10+$H$11))))</f>
        <v>0.23161838861104309</v>
      </c>
      <c r="D57" s="6">
        <f t="shared" ca="1" si="63"/>
        <v>0.18930366112314914</v>
      </c>
      <c r="E57" s="6">
        <f t="shared" ca="1" si="63"/>
        <v>0.20596660788061508</v>
      </c>
      <c r="F57" s="6">
        <f t="shared" ca="1" si="63"/>
        <v>0.22829236242264314</v>
      </c>
      <c r="G57" s="6">
        <f t="shared" ca="1" si="63"/>
        <v>0.25300026356140942</v>
      </c>
      <c r="H57" s="6">
        <f t="shared" ca="1" si="63"/>
        <v>0.27931600144283358</v>
      </c>
      <c r="I57" s="6">
        <f t="shared" ca="1" si="63"/>
        <v>0.30694555503164261</v>
      </c>
      <c r="J57" s="6">
        <f t="shared" ca="1" si="63"/>
        <v>0.33574177827965229</v>
      </c>
      <c r="K57" s="6">
        <f t="shared" ca="1" si="63"/>
        <v>0.36561581325706738</v>
      </c>
      <c r="L57" s="6">
        <f t="shared" ca="1" si="63"/>
        <v>0.39650643928766144</v>
      </c>
      <c r="M57" s="6">
        <f t="shared" ca="1" si="63"/>
        <v>0.42836741986703247</v>
      </c>
      <c r="N57" s="6">
        <f t="shared" ca="1" si="63"/>
        <v>0.46116155114473922</v>
      </c>
    </row>
    <row r="58" spans="1:29" s="6" customFormat="1" hidden="1" x14ac:dyDescent="0.25">
      <c r="A58" s="14"/>
      <c r="B58" s="6">
        <v>950</v>
      </c>
      <c r="C58" s="6">
        <f t="shared" ref="C58:N58" ca="1" si="64">IF(((C$69*$C$5-C58)^2-4*C33*($H$4+2*($H$10+$H$11))/1000)&lt;0,0,($C$6*C$69/$F$67/1000)*($R$5/(C$69*$C$5-C58)+2000*((C$69*$C$5-C58)-((C$69*$C$5-C58)^2-4*C33*($H$4+2*($H$10+$H$11))/1000)^(1/2))/($H$4+2*($H$10+$H$11))))</f>
        <v>0</v>
      </c>
      <c r="D58" s="6">
        <f t="shared" ca="1" si="64"/>
        <v>0.19982802993639304</v>
      </c>
      <c r="E58" s="6">
        <f t="shared" ca="1" si="64"/>
        <v>0.21578829757312765</v>
      </c>
      <c r="F58" s="6">
        <f t="shared" ca="1" si="64"/>
        <v>0.23817125805456013</v>
      </c>
      <c r="G58" s="6">
        <f t="shared" ca="1" si="64"/>
        <v>0.26310763172636797</v>
      </c>
      <c r="H58" s="6">
        <f t="shared" ca="1" si="64"/>
        <v>0.28970913620732491</v>
      </c>
      <c r="I58" s="6">
        <f t="shared" ca="1" si="64"/>
        <v>0.31764579502815837</v>
      </c>
      <c r="J58" s="6">
        <f t="shared" ca="1" si="64"/>
        <v>0.34675618426105054</v>
      </c>
      <c r="K58" s="6">
        <f t="shared" ca="1" si="64"/>
        <v>0.37694499748455701</v>
      </c>
      <c r="L58" s="6">
        <f t="shared" ca="1" si="64"/>
        <v>0.40814788679289199</v>
      </c>
      <c r="M58" s="6">
        <f t="shared" ca="1" si="64"/>
        <v>0.44031705727608322</v>
      </c>
      <c r="N58" s="6">
        <f t="shared" ca="1" si="64"/>
        <v>0.47341454503081226</v>
      </c>
    </row>
    <row r="59" spans="1:29" s="6" customFormat="1" hidden="1" x14ac:dyDescent="0.25">
      <c r="A59" s="14"/>
      <c r="B59" s="6">
        <v>1000</v>
      </c>
      <c r="C59" s="6">
        <f t="shared" ref="C59:N59" ca="1" si="65">IF(((C$69*$C$5-C59)^2-4*C34*($H$4+2*($H$10+$H$11))/1000)&lt;0,0,($C$6*C$69/$F$67/1000)*($R$5/(C$69*$C$5-C59)+2000*((C$69*$C$5-C59)-((C$69*$C$5-C59)^2-4*C34*($H$4+2*($H$10+$H$11))/1000)^(1/2))/($H$4+2*($H$10+$H$11))))</f>
        <v>0</v>
      </c>
      <c r="D59" s="6">
        <f t="shared" ca="1" si="65"/>
        <v>0.21075224417526775</v>
      </c>
      <c r="E59" s="6">
        <f t="shared" ca="1" si="65"/>
        <v>0.22585377218461841</v>
      </c>
      <c r="F59" s="6">
        <f t="shared" ca="1" si="65"/>
        <v>0.24824987020863568</v>
      </c>
      <c r="G59" s="6">
        <f t="shared" ca="1" si="65"/>
        <v>0.27339269287609996</v>
      </c>
      <c r="H59" s="6">
        <f t="shared" ca="1" si="65"/>
        <v>0.30026598257586673</v>
      </c>
      <c r="I59" s="6">
        <f t="shared" ca="1" si="65"/>
        <v>0.32849966087682414</v>
      </c>
      <c r="J59" s="6">
        <f t="shared" ca="1" si="65"/>
        <v>0.35791636444955577</v>
      </c>
      <c r="K59" s="6">
        <f t="shared" ca="1" si="65"/>
        <v>0.38841353725026601</v>
      </c>
      <c r="L59" s="6">
        <f t="shared" ca="1" si="65"/>
        <v>0.41992326544908226</v>
      </c>
      <c r="M59" s="6">
        <f t="shared" ca="1" si="65"/>
        <v>0.45239593201736739</v>
      </c>
      <c r="N59" s="6">
        <f t="shared" ca="1" si="65"/>
        <v>0.48579264278809298</v>
      </c>
    </row>
    <row r="60" spans="1:29" s="6" customFormat="1" hidden="1" x14ac:dyDescent="0.25">
      <c r="A60" s="8"/>
      <c r="B60" s="6">
        <v>1050</v>
      </c>
      <c r="C60" s="6">
        <f t="shared" ref="C60:N60" ca="1" si="66">IF(((C$69*$C$5-C60)^2-4*C35*($H$4+2*($H$10+$H$11))/1000)&lt;0,0,($C$6*C$69/$F$67/1000)*($R$5/(C$69*$C$5-C60)+2000*((C$69*$C$5-C60)-((C$69*$C$5-C60)^2-4*C35*($H$4+2*($H$10+$H$11))/1000)^(1/2))/($H$4+2*($H$10+$H$11))))</f>
        <v>0</v>
      </c>
      <c r="D60" s="6">
        <f t="shared" ca="1" si="66"/>
        <v>0.22209567898461358</v>
      </c>
      <c r="E60" s="6">
        <f t="shared" ca="1" si="66"/>
        <v>0.23616568647677405</v>
      </c>
      <c r="F60" s="6">
        <f t="shared" ca="1" si="66"/>
        <v>0.25852846573941596</v>
      </c>
      <c r="G60" s="6">
        <f t="shared" ca="1" si="66"/>
        <v>0.283855020689816</v>
      </c>
      <c r="H60" s="6">
        <f t="shared" ca="1" si="66"/>
        <v>0.31098586839219527</v>
      </c>
      <c r="I60" s="6">
        <f t="shared" ca="1" si="66"/>
        <v>0.33950639568921265</v>
      </c>
      <c r="J60" s="6">
        <f t="shared" ca="1" si="66"/>
        <v>0.36922154482371705</v>
      </c>
      <c r="K60" s="6">
        <f t="shared" ca="1" si="66"/>
        <v>0.40002067189470336</v>
      </c>
      <c r="L60" s="6">
        <f t="shared" ca="1" si="66"/>
        <v>0.43183184186807722</v>
      </c>
      <c r="M60" s="6">
        <f t="shared" ca="1" si="66"/>
        <v>0.46460334389177632</v>
      </c>
      <c r="N60" s="6">
        <f t="shared" ca="1" si="66"/>
        <v>0.49829517929830763</v>
      </c>
    </row>
    <row r="61" spans="1:29" s="6" customFormat="1" hidden="1" x14ac:dyDescent="0.25">
      <c r="A61" s="8"/>
      <c r="B61" s="6">
        <v>1100</v>
      </c>
      <c r="C61" s="6">
        <f t="shared" ref="C61:N61" ca="1" si="67">IF(((C$69*$C$5-C61)^2-4*C36*($H$4+2*($H$10+$H$11))/1000)&lt;0,0,($C$6*C$69/$F$67/1000)*($R$5/(C$69*$C$5-C61)+2000*((C$69*$C$5-C61)-((C$69*$C$5-C61)^2-4*C36*($H$4+2*($H$10+$H$11))/1000)^(1/2))/($H$4+2*($H$10+$H$11))))</f>
        <v>0</v>
      </c>
      <c r="D61" s="6">
        <f t="shared" ca="1" si="67"/>
        <v>0.23388044271357733</v>
      </c>
      <c r="E61" s="6">
        <f t="shared" ca="1" si="67"/>
        <v>0.24672705705591066</v>
      </c>
      <c r="F61" s="6">
        <f t="shared" ca="1" si="67"/>
        <v>0.26900747719016821</v>
      </c>
      <c r="G61" s="6">
        <f t="shared" ca="1" si="67"/>
        <v>0.29449429752721984</v>
      </c>
      <c r="H61" s="6">
        <f t="shared" ca="1" si="67"/>
        <v>0.32186820279751005</v>
      </c>
      <c r="I61" s="6">
        <f t="shared" ca="1" si="67"/>
        <v>0.3506653071646042</v>
      </c>
      <c r="J61" s="6">
        <f t="shared" ca="1" si="67"/>
        <v>0.38067100442512952</v>
      </c>
      <c r="K61" s="6">
        <f t="shared" ca="1" si="67"/>
        <v>0.4117656853092882</v>
      </c>
      <c r="L61" s="6">
        <f t="shared" ca="1" si="67"/>
        <v>0.44387292065394857</v>
      </c>
      <c r="M61" s="6">
        <f t="shared" ca="1" si="67"/>
        <v>0.47693862549237609</v>
      </c>
      <c r="N61" s="6">
        <f t="shared" ca="1" si="67"/>
        <v>0.51092151802580366</v>
      </c>
      <c r="Q61" s="6" t="s">
        <v>168</v>
      </c>
    </row>
    <row r="62" spans="1:29" s="6" customFormat="1" hidden="1" x14ac:dyDescent="0.25">
      <c r="A62" s="8"/>
      <c r="B62" s="6">
        <v>1150</v>
      </c>
      <c r="C62" s="6">
        <f t="shared" ref="C62:N62" ca="1" si="68">IF(((C$69*$C$5-C62)^2-4*C37*($H$4+2*($H$10+$H$11))/1000)&lt;0,0,($C$6*C$69/$F$67/1000)*($R$5/(C$69*$C$5-C62)+2000*((C$69*$C$5-C62)-((C$69*$C$5-C62)^2-4*C37*($H$4+2*($H$10+$H$11))/1000)^(1/2))/($H$4+2*($H$10+$H$11))))</f>
        <v>0</v>
      </c>
      <c r="D62" s="6">
        <f t="shared" ca="1" si="68"/>
        <v>0.24613182258525423</v>
      </c>
      <c r="E62" s="6">
        <f t="shared" ca="1" si="68"/>
        <v>0.25754127120586767</v>
      </c>
      <c r="F62" s="6">
        <f t="shared" ca="1" si="68"/>
        <v>0.2796874991994262</v>
      </c>
      <c r="G62" s="6">
        <f t="shared" ca="1" si="68"/>
        <v>0.3053103102576164</v>
      </c>
      <c r="H62" s="6">
        <f t="shared" ca="1" si="68"/>
        <v>0.33291247264574486</v>
      </c>
      <c r="I62" s="6">
        <f t="shared" ca="1" si="68"/>
        <v>0.36197576464978476</v>
      </c>
      <c r="J62" s="6">
        <f t="shared" ca="1" si="68"/>
        <v>0.39226407296186466</v>
      </c>
      <c r="K62" s="6">
        <f t="shared" ca="1" si="68"/>
        <v>0.42364790397440316</v>
      </c>
      <c r="L62" s="6">
        <f t="shared" ca="1" si="68"/>
        <v>0.45604584278483445</v>
      </c>
      <c r="M62" s="6">
        <f t="shared" ca="1" si="68"/>
        <v>0.48940114085880815</v>
      </c>
      <c r="N62" s="6">
        <f t="shared" ca="1" si="68"/>
        <v>0.52367104988937896</v>
      </c>
      <c r="Q62" s="6" t="s">
        <v>136</v>
      </c>
    </row>
    <row r="63" spans="1:29" s="6" customFormat="1" hidden="1" x14ac:dyDescent="0.25">
      <c r="A63" s="8"/>
      <c r="B63" s="6">
        <v>1200</v>
      </c>
      <c r="C63" s="6">
        <f t="shared" ref="C63:N63" ca="1" si="69">IF(((C$69*$C$5-C63)^2-4*C38*($H$4+2*($H$10+$H$11))/1000)&lt;0,0,($C$6*C$69/$F$67/1000)*($R$5/(C$69*$C$5-C63)+2000*((C$69*$C$5-C63)-((C$69*$C$5-C63)^2-4*C38*($H$4+2*($H$10+$H$11))/1000)^(1/2))/($H$4+2*($H$10+$H$11))))</f>
        <v>0</v>
      </c>
      <c r="D63" s="6">
        <f t="shared" ca="1" si="69"/>
        <v>0.25887884222195939</v>
      </c>
      <c r="E63" s="6">
        <f t="shared" ca="1" si="69"/>
        <v>0.2686120984969258</v>
      </c>
      <c r="F63" s="6">
        <f t="shared" ca="1" si="69"/>
        <v>0.29056928579371943</v>
      </c>
      <c r="G63" s="6">
        <f t="shared" ca="1" si="69"/>
        <v>0.31630294661517566</v>
      </c>
      <c r="H63" s="6">
        <f t="shared" ca="1" si="69"/>
        <v>0.34411823927897778</v>
      </c>
      <c r="I63" s="6">
        <f t="shared" ca="1" si="69"/>
        <v>0.37343719645856183</v>
      </c>
      <c r="J63" s="6">
        <f t="shared" ca="1" si="69"/>
        <v>0.40400012860479706</v>
      </c>
      <c r="K63" s="6">
        <f t="shared" ca="1" si="69"/>
        <v>0.43566669514389639</v>
      </c>
      <c r="L63" s="6">
        <f t="shared" ca="1" si="69"/>
        <v>0.46834998410788259</v>
      </c>
      <c r="M63" s="6">
        <f t="shared" ca="1" si="69"/>
        <v>0.50199028422023118</v>
      </c>
      <c r="N63" s="6">
        <f t="shared" ca="1" si="69"/>
        <v>0.53654319220444735</v>
      </c>
      <c r="Q63" s="6" t="s">
        <v>137</v>
      </c>
    </row>
    <row r="64" spans="1:29" hidden="1" x14ac:dyDescent="0.25">
      <c r="A64" s="3"/>
    </row>
    <row r="65" spans="1:29" x14ac:dyDescent="0.25">
      <c r="A65" s="3"/>
    </row>
    <row r="66" spans="1:29" s="1" customFormat="1" x14ac:dyDescent="0.25">
      <c r="A66" s="1" t="s">
        <v>138</v>
      </c>
    </row>
    <row r="67" spans="1:29" x14ac:dyDescent="0.25">
      <c r="B67" t="s">
        <v>74</v>
      </c>
      <c r="F67" s="10">
        <v>2</v>
      </c>
      <c r="Q67" t="s">
        <v>75</v>
      </c>
      <c r="U67" s="10">
        <v>600</v>
      </c>
    </row>
    <row r="68" spans="1:29" x14ac:dyDescent="0.25">
      <c r="A68" s="13" t="s">
        <v>73</v>
      </c>
      <c r="B68" s="13"/>
      <c r="C68" s="13" t="s">
        <v>71</v>
      </c>
      <c r="D68" s="13"/>
      <c r="E68" s="13"/>
      <c r="F68" s="13"/>
      <c r="G68" s="13"/>
      <c r="H68" s="13"/>
      <c r="I68" s="13"/>
      <c r="J68" s="13"/>
      <c r="K68" s="2"/>
      <c r="L68" s="2"/>
      <c r="M68" s="2"/>
      <c r="N68" s="2"/>
      <c r="O68" s="2"/>
      <c r="P68" s="13" t="s">
        <v>73</v>
      </c>
      <c r="Q68" s="13"/>
      <c r="R68" s="13" t="s">
        <v>71</v>
      </c>
      <c r="S68" s="13"/>
      <c r="T68" s="13"/>
      <c r="U68" s="13"/>
      <c r="V68" s="13"/>
      <c r="W68" s="13"/>
      <c r="X68" s="13"/>
      <c r="Y68" s="13"/>
      <c r="Z68" s="13"/>
      <c r="AA68" s="13"/>
    </row>
    <row r="69" spans="1:29" x14ac:dyDescent="0.25">
      <c r="A69" s="13"/>
      <c r="B69" s="13"/>
      <c r="C69">
        <v>1</v>
      </c>
      <c r="D69">
        <v>2</v>
      </c>
      <c r="E69">
        <v>3</v>
      </c>
      <c r="F69">
        <v>4</v>
      </c>
      <c r="G69">
        <v>5</v>
      </c>
      <c r="H69">
        <v>6</v>
      </c>
      <c r="I69">
        <v>7</v>
      </c>
      <c r="J69">
        <v>8</v>
      </c>
      <c r="K69">
        <v>9</v>
      </c>
      <c r="L69">
        <v>10</v>
      </c>
      <c r="M69">
        <v>11</v>
      </c>
      <c r="N69">
        <v>12</v>
      </c>
      <c r="P69" s="13"/>
      <c r="Q69" s="13"/>
      <c r="R69">
        <v>1</v>
      </c>
      <c r="S69">
        <v>2</v>
      </c>
      <c r="T69">
        <v>3</v>
      </c>
      <c r="U69">
        <v>4</v>
      </c>
      <c r="V69">
        <v>5</v>
      </c>
      <c r="W69">
        <v>6</v>
      </c>
      <c r="X69">
        <v>7</v>
      </c>
      <c r="Y69">
        <v>8</v>
      </c>
      <c r="Z69">
        <v>9</v>
      </c>
      <c r="AA69">
        <v>10</v>
      </c>
      <c r="AB69">
        <v>11</v>
      </c>
      <c r="AC69">
        <v>12</v>
      </c>
    </row>
    <row r="70" spans="1:29" ht="13.8" customHeight="1" x14ac:dyDescent="0.25">
      <c r="A70" s="15" t="s">
        <v>72</v>
      </c>
      <c r="B70">
        <v>100</v>
      </c>
      <c r="C70" s="4" t="str">
        <f ca="1">_xlfn.IFS(((C41^2/($C$6*C$69/$F$67/1000)+$R$5+4*C16+((C$69*$C$5-C41)-((C$69*$C$5-C41)^2-4*C16*($H$4+2*($H$10+$H$11))/1000)^(1/2))^2/($H$4+2*($H$10+$H$11))*1000)/(C$69*$C$10*0.95)/$F$67)&gt;$C$11,"    batt!",OR((((C$69*$C$5-C41)-((C$69*$C$5-C41)^2-4*C16*($H$4+2*($H$10+$H$11))/1000)^(1/2))/2/($H$4+2*($H$10+$H$11))*1000)&gt;$H$7,C16/SQRT(SQRT(($H$5+$M$5+(C$69*$F$67*$C$7+$B70)/4)*9.8/1000/$M$8/1.225/($M$4/1000)^4)*60/$H$8*(C$69*$C$5-C41-((C$69*$C$5-C41)-((C$69*$C$5-C41)^2-4*C16*($H$4+2*($H$10+$H$11))/1000)^(1/2))/2))&gt;$H$7),"   mOC!",C16&gt;$H$6,"    mop!",OR(SQRT(($H$5+$M$5+(C$69*$F$67*$C$7+$B70)/4)*9.8/1000/$M$8/1.225/($M$4/1000)^4)*60/$H$8/(C$69*$C$5-C41-((C$69*$C$5-C41)-((C$69*$C$5-C41)^2-4*C16*($H$4+2*($H$10+$H$11))/1000)^(1/2))/2)&gt;($R$8*0.95/100),SQRT(($H$5+$M$5+(C$69*$F$67*$C$7+$B70)/4)*9.8/1000/$M$8/1.225/($M$4/1000)^4)*60/$H$8/(C$69*$C$5-C41-((C$69*$C$5-C41)-((C$69*$C$5-C41)^2-4*C16*($H$4+2*($H$10+$H$11))/1000)^(1/2))/2)&lt;($R$7*0.95/100)),"   mKV!",TRUE,(1-$C$12/100)*(1-$R$4/100)*C$69*$F$67*$C$4*$C$5*60/1000/(C41^2/($C$6*C$69/$F$67/1000)+$R$5+4*C16+((C$69*$C$5-C41)-((C$69*$C$5-C41)^2-4*C16*($H$4+2*($H$10+$H$11))/1000)^(1/2))^2/($H$4+2*($H$10+$H$11))*1000))</f>
        <v xml:space="preserve">    batt!</v>
      </c>
      <c r="D70" s="4" t="str">
        <f t="shared" ref="D70:N70" ca="1" si="70">_xlfn.IFS(((D41^2/($C$6*D$69/$F$67/1000)+$R$5+4*D16+((D$69*$C$5-D41)-((D$69*$C$5-D41)^2-4*D16*($H$4+2*($H$10+$H$11))/1000)^(1/2))^2/($H$4+2*($H$10+$H$11))*1000)/(D$69*$C$10*0.95)/$F$67)&gt;$C$11,"    batt!",OR((((D$69*$C$5-D41)-((D$69*$C$5-D41)^2-4*D16*($H$4+2*($H$10+$H$11))/1000)^(1/2))/2/($H$4+2*($H$10+$H$11))*1000)&gt;$H$7,D16/SQRT(SQRT(($H$5+$M$5+(D$69*$F$67*$C$7+$B70)/4)*9.8/1000/$M$8/1.225/($M$4/1000)^4)*60/$H$8*(D$69*$C$5-D41-((D$69*$C$5-D41)-((D$69*$C$5-D41)^2-4*D16*($H$4+2*($H$10+$H$11))/1000)^(1/2))/2))&gt;$H$7),"   mOC!",D16&gt;$H$6,"    mop!",OR(SQRT(($H$5+$M$5+(D$69*$F$67*$C$7+$B70)/4)*9.8/1000/$M$8/1.225/($M$4/1000)^4)*60/$H$8/(D$69*$C$5-D41-((D$69*$C$5-D41)-((D$69*$C$5-D41)^2-4*D16*($H$4+2*($H$10+$H$11))/1000)^(1/2))/2)&gt;($R$8*0.95/100),SQRT(($H$5+$M$5+(D$69*$F$67*$C$7+$B70)/4)*9.8/1000/$M$8/1.225/($M$4/1000)^4)*60/$H$8/(D$69*$C$5-D41-((D$69*$C$5-D41)-((D$69*$C$5-D41)^2-4*D16*($H$4+2*($H$10+$H$11))/1000)^(1/2))/2)&lt;($R$7*0.95/100)),"   mKV!",TRUE,(1-$C$12/100)*(1-$R$4/100)*D$69*$F$67*$C$4*$C$5*60/1000/(D41^2/($C$6*D$69/$F$67/1000)+$R$5+4*D16+((D$69*$C$5-D41)-((D$69*$C$5-D41)^2-4*D16*($H$4+2*($H$10+$H$11))/1000)^(1/2))^2/($H$4+2*($H$10+$H$11))*1000))</f>
        <v xml:space="preserve">   mKV!</v>
      </c>
      <c r="E70" s="4">
        <f t="shared" ca="1" si="70"/>
        <v>62.000622197359966</v>
      </c>
      <c r="F70" s="4">
        <f t="shared" ca="1" si="70"/>
        <v>68.571146685675203</v>
      </c>
      <c r="G70" s="4" t="str">
        <f t="shared" ca="1" si="70"/>
        <v xml:space="preserve">   mKV!</v>
      </c>
      <c r="H70" s="4" t="str">
        <f t="shared" ca="1" si="70"/>
        <v xml:space="preserve">   mKV!</v>
      </c>
      <c r="I70" s="4" t="str">
        <f t="shared" ca="1" si="70"/>
        <v xml:space="preserve">   mKV!</v>
      </c>
      <c r="J70" s="4" t="str">
        <f t="shared" ca="1" si="70"/>
        <v xml:space="preserve">   mKV!</v>
      </c>
      <c r="K70" s="4" t="str">
        <f t="shared" ca="1" si="70"/>
        <v xml:space="preserve">   mKV!</v>
      </c>
      <c r="L70" s="4" t="str">
        <f t="shared" ca="1" si="70"/>
        <v xml:space="preserve">   mKV!</v>
      </c>
      <c r="M70" s="4" t="str">
        <f t="shared" ca="1" si="70"/>
        <v xml:space="preserve">   mKV!</v>
      </c>
      <c r="N70" s="4" t="str">
        <f t="shared" ca="1" si="70"/>
        <v xml:space="preserve">   mKV!</v>
      </c>
      <c r="P70" s="13" t="s">
        <v>70</v>
      </c>
      <c r="Q70">
        <v>1</v>
      </c>
      <c r="R70" s="4" t="str">
        <f ca="1">_xlfn.IFS(((R41^2/($C$6*R$69/$Q70/1000)+$R$5+4*R16+((R$69*$C$5-R41)-((R$69*$C$5-R41)^2-4*R16*($H$4+2*($H$10+$H$11))/1000)^(1/2))^2/($H$4+2*($H$10+$H$11))*1000)/(R$69*$C$10*0.95)/$Q70)&gt;$C$11,"    batt!",OR((((R$69*$C$5-R41)-((R$69*$C$5-R41)^2-4*R16*($H$4+2*($H$10+$H$11))/1000)^(1/2))/2/($H$4+2*($H$10+$H$11))*1000)&gt;$H$7,R16/SQRT(SQRT(($H$5+$M$5+(R$69*$Q70*$C$7+$U$67)/4)*9.8/1000/$M$8/1.225/($M$4/1000)^4)*60/$H$8*(R$69*$C$5-R41-((R$69*$C$5-R41)-((R$69*$C$5-R41)^2-4*R16*($H$4+2*($H$10+$H$11))/1000)^(1/2))/2))&gt;$H$7),"   mOC!",R16&gt;$H$6,"    mop!",OR(SQRT(($H$5+$M$5+(R$69*$Q70*$C$7+$U$67)/4)*9.8/1000/$M$8/1.225/($M$4/1000)^4)*60/$H$8/(R$69*$C$5-R41-((R$69*$C$5-R41)-((R$69*$C$5-R41)^2-4*R16*($H$4+2*($H$10+$H$11))/1000)^(1/2))/2)&gt;($R$8*0.95/100),SQRT(($H$5+$M$5+(R$69*$Q70*$C$7+$U$67)/4)*9.8/1000/$M$8/1.225/($M$4/1000)^4)*60/$H$8/(R$69*$C$5-R41-((R$69*$C$5-R41)-((R$69*$C$5-R41)^2-4*R16*($H$4+2*($H$10+$H$11))/1000)^(1/2))/2)&lt;($R$7*0.95/100)),"   mKV!",TRUE,(1-$C$12/100)*(1-$R$4/100)*R$69*$Q70*$C$4*$C$5*60/1000/(R41^2/($C$6*R$69/$Q70/1000)+$R$5+4*R16+((R$69*$C$5-R41)-((R$69*$C$5-R41)^2-4*R16*($H$4+2*($H$10+$H$11))/1000)^(1/2))^2/($H$4+2*($H$10+$H$11))*1000))</f>
        <v xml:space="preserve">    batt!</v>
      </c>
      <c r="S70" s="4" t="str">
        <f t="shared" ref="S70:AC70" ca="1" si="71">_xlfn.IFS(((S41^2/($C$6*S$69/$Q70/1000)+$R$5+4*S16+((S$69*$C$5-S41)-((S$69*$C$5-S41)^2-4*S16*($H$4+2*($H$10+$H$11))/1000)^(1/2))^2/($H$4+2*($H$10+$H$11))*1000)/(S$69*$C$10*0.95)/$Q70)&gt;$C$11,"    batt!",OR((((S$69*$C$5-S41)-((S$69*$C$5-S41)^2-4*S16*($H$4+2*($H$10+$H$11))/1000)^(1/2))/2/($H$4+2*($H$10+$H$11))*1000)&gt;$H$7,S16/SQRT(SQRT(($H$5+$M$5+(S$69*$Q70*$C$7+$U$67)/4)*9.8/1000/$M$8/1.225/($M$4/1000)^4)*60/$H$8*(S$69*$C$5-S41-((S$69*$C$5-S41)-((S$69*$C$5-S41)^2-4*S16*($H$4+2*($H$10+$H$11))/1000)^(1/2))/2))&gt;$H$7),"   mOC!",S16&gt;$H$6,"    mop!",OR(SQRT(($H$5+$M$5+(S$69*$Q70*$C$7+$U$67)/4)*9.8/1000/$M$8/1.225/($M$4/1000)^4)*60/$H$8/(S$69*$C$5-S41-((S$69*$C$5-S41)-((S$69*$C$5-S41)^2-4*S16*($H$4+2*($H$10+$H$11))/1000)^(1/2))/2)&gt;($R$8*0.95/100),SQRT(($H$5+$M$5+(S$69*$Q70*$C$7+$U$67)/4)*9.8/1000/$M$8/1.225/($M$4/1000)^4)*60/$H$8/(S$69*$C$5-S41-((S$69*$C$5-S41)-((S$69*$C$5-S41)^2-4*S16*($H$4+2*($H$10+$H$11))/1000)^(1/2))/2)&lt;($R$7*0.95/100)),"   mKV!",TRUE,(1-$C$12/100)*(1-$R$4/100)*S$69*$Q70*$C$4*$C$5*60/1000/(S41^2/($C$6*S$69/$Q70/1000)+$R$5+4*S16+((S$69*$C$5-S41)-((S$69*$C$5-S41)^2-4*S16*($H$4+2*($H$10+$H$11))/1000)^(1/2))^2/($H$4+2*($H$10+$H$11))*1000))</f>
        <v xml:space="preserve">    batt!</v>
      </c>
      <c r="T70" s="4" t="str">
        <f t="shared" ca="1" si="71"/>
        <v xml:space="preserve">    batt!</v>
      </c>
      <c r="U70" s="4" t="str">
        <f t="shared" ca="1" si="71"/>
        <v xml:space="preserve">    batt!</v>
      </c>
      <c r="V70" s="4" t="str">
        <f t="shared" ca="1" si="71"/>
        <v xml:space="preserve">    batt!</v>
      </c>
      <c r="W70" s="4" t="str">
        <f t="shared" ca="1" si="71"/>
        <v xml:space="preserve">    batt!</v>
      </c>
      <c r="X70" s="4" t="str">
        <f t="shared" ca="1" si="71"/>
        <v xml:space="preserve">   mKV!</v>
      </c>
      <c r="Y70" s="4" t="str">
        <f t="shared" ca="1" si="71"/>
        <v xml:space="preserve">   mKV!</v>
      </c>
      <c r="Z70" s="4" t="str">
        <f t="shared" ca="1" si="71"/>
        <v xml:space="preserve">   mKV!</v>
      </c>
      <c r="AA70" s="4" t="str">
        <f t="shared" ca="1" si="71"/>
        <v xml:space="preserve">   mKV!</v>
      </c>
      <c r="AB70" s="4" t="str">
        <f t="shared" ca="1" si="71"/>
        <v xml:space="preserve">   mKV!</v>
      </c>
      <c r="AC70" s="4" t="str">
        <f t="shared" ca="1" si="71"/>
        <v xml:space="preserve">   mKV!</v>
      </c>
    </row>
    <row r="71" spans="1:29" x14ac:dyDescent="0.25">
      <c r="A71" s="15"/>
      <c r="B71">
        <v>150</v>
      </c>
      <c r="C71" s="4" t="str">
        <f t="shared" ref="C71:N71" ca="1" si="72">_xlfn.IFS(((C42^2/($C$6*C$69/$F$67/1000)+$R$5+4*C17+((C$69*$C$5-C42)-((C$69*$C$5-C42)^2-4*C17*($H$4+2*($H$10+$H$11))/1000)^(1/2))^2/($H$4+2*($H$10+$H$11))*1000)/(C$69*$C$10*0.95)/$F$67)&gt;$C$11,"    batt!",OR((((C$69*$C$5-C42)-((C$69*$C$5-C42)^2-4*C17*($H$4+2*($H$10+$H$11))/1000)^(1/2))/2/($H$4+2*($H$10+$H$11))*1000)&gt;$H$7,C17/SQRT(SQRT(($H$5+$M$5+(C$69*$F$67*$C$7+$B71)/4)*9.8/1000/$M$8/1.225/($M$4/1000)^4)*60/$H$8*(C$69*$C$5-C42-((C$69*$C$5-C42)-((C$69*$C$5-C42)^2-4*C17*($H$4+2*($H$10+$H$11))/1000)^(1/2))/2))&gt;$H$7),"   mOC!",C17&gt;$H$6,"    mop!",OR(SQRT(($H$5+$M$5+(C$69*$F$67*$C$7+$B71)/4)*9.8/1000/$M$8/1.225/($M$4/1000)^4)*60/$H$8/(C$69*$C$5-C42-((C$69*$C$5-C42)-((C$69*$C$5-C42)^2-4*C17*($H$4+2*($H$10+$H$11))/1000)^(1/2))/2)&gt;($R$8*0.95/100),SQRT(($H$5+$M$5+(C$69*$F$67*$C$7+$B71)/4)*9.8/1000/$M$8/1.225/($M$4/1000)^4)*60/$H$8/(C$69*$C$5-C42-((C$69*$C$5-C42)-((C$69*$C$5-C42)^2-4*C17*($H$4+2*($H$10+$H$11))/1000)^(1/2))/2)&lt;($R$7*0.95/100)),"   mKV!",TRUE,(1-$C$12/100)*(1-$R$4/100)*C$69*$F$67*$C$4*$C$5*60/1000/(C42^2/($C$6*C$69/$F$67/1000)+$R$5+4*C17+((C$69*$C$5-C42)-((C$69*$C$5-C42)^2-4*C17*($H$4+2*($H$10+$H$11))/1000)^(1/2))^2/($H$4+2*($H$10+$H$11))*1000))</f>
        <v xml:space="preserve">    batt!</v>
      </c>
      <c r="D71" s="4" t="str">
        <f t="shared" ca="1" si="72"/>
        <v xml:space="preserve">   mKV!</v>
      </c>
      <c r="E71" s="4">
        <f t="shared" ca="1" si="72"/>
        <v>57.755819988464673</v>
      </c>
      <c r="F71" s="4">
        <f t="shared" ca="1" si="72"/>
        <v>64.273662415771369</v>
      </c>
      <c r="G71" s="4">
        <f t="shared" ca="1" si="72"/>
        <v>68.023732319511552</v>
      </c>
      <c r="H71" s="4" t="str">
        <f t="shared" ca="1" si="72"/>
        <v xml:space="preserve">   mKV!</v>
      </c>
      <c r="I71" s="4" t="str">
        <f t="shared" ca="1" si="72"/>
        <v xml:space="preserve">   mKV!</v>
      </c>
      <c r="J71" s="4" t="str">
        <f t="shared" ca="1" si="72"/>
        <v xml:space="preserve">   mKV!</v>
      </c>
      <c r="K71" s="4" t="str">
        <f t="shared" ca="1" si="72"/>
        <v xml:space="preserve">   mKV!</v>
      </c>
      <c r="L71" s="4" t="str">
        <f t="shared" ca="1" si="72"/>
        <v xml:space="preserve">   mKV!</v>
      </c>
      <c r="M71" s="4" t="str">
        <f t="shared" ca="1" si="72"/>
        <v xml:space="preserve">   mKV!</v>
      </c>
      <c r="N71" s="4" t="str">
        <f t="shared" ca="1" si="72"/>
        <v xml:space="preserve">   mKV!</v>
      </c>
      <c r="P71" s="13"/>
      <c r="Q71">
        <v>2</v>
      </c>
      <c r="R71" s="4" t="str">
        <f t="shared" ref="R71:AC71" ca="1" si="73">_xlfn.IFS(((R42^2/($C$6*R$69/$Q71/1000)+$R$5+4*R17+((R$69*$C$5-R42)-((R$69*$C$5-R42)^2-4*R17*($H$4+2*($H$10+$H$11))/1000)^(1/2))^2/($H$4+2*($H$10+$H$11))*1000)/(R$69*$C$10*0.95)/$Q71)&gt;$C$11,"    batt!",OR((((R$69*$C$5-R42)-((R$69*$C$5-R42)^2-4*R17*($H$4+2*($H$10+$H$11))/1000)^(1/2))/2/($H$4+2*($H$10+$H$11))*1000)&gt;$H$7,R17/SQRT(SQRT(($H$5+$M$5+(R$69*$Q71*$C$7+$U$67)/4)*9.8/1000/$M$8/1.225/($M$4/1000)^4)*60/$H$8*(R$69*$C$5-R42-((R$69*$C$5-R42)-((R$69*$C$5-R42)^2-4*R17*($H$4+2*($H$10+$H$11))/1000)^(1/2))/2))&gt;$H$7),"   mOC!",R17&gt;$H$6,"    mop!",OR(SQRT(($H$5+$M$5+(R$69*$Q71*$C$7+$U$67)/4)*9.8/1000/$M$8/1.225/($M$4/1000)^4)*60/$H$8/(R$69*$C$5-R42-((R$69*$C$5-R42)-((R$69*$C$5-R42)^2-4*R17*($H$4+2*($H$10+$H$11))/1000)^(1/2))/2)&gt;($R$8*0.95/100),SQRT(($H$5+$M$5+(R$69*$Q71*$C$7+$U$67)/4)*9.8/1000/$M$8/1.225/($M$4/1000)^4)*60/$H$8/(R$69*$C$5-R42-((R$69*$C$5-R42)-((R$69*$C$5-R42)^2-4*R17*($H$4+2*($H$10+$H$11))/1000)^(1/2))/2)&lt;($R$7*0.95/100)),"   mKV!",TRUE,(1-$C$12/100)*(1-$R$4/100)*R$69*$Q71*$C$4*$C$5*60/1000/(R42^2/($C$6*R$69/$Q71/1000)+$R$5+4*R17+((R$69*$C$5-R42)-((R$69*$C$5-R42)^2-4*R17*($H$4+2*($H$10+$H$11))/1000)^(1/2))^2/($H$4+2*($H$10+$H$11))*1000))</f>
        <v xml:space="preserve">    batt!</v>
      </c>
      <c r="S71" s="4" t="str">
        <f t="shared" ca="1" si="73"/>
        <v xml:space="preserve">    batt!</v>
      </c>
      <c r="T71" s="4" t="str">
        <f t="shared" ca="1" si="73"/>
        <v xml:space="preserve">    batt!</v>
      </c>
      <c r="U71" s="4">
        <f t="shared" ca="1" si="73"/>
        <v>38.771931627358249</v>
      </c>
      <c r="V71" s="4">
        <f t="shared" ca="1" si="73"/>
        <v>42.804562373165879</v>
      </c>
      <c r="W71" s="4">
        <f t="shared" ca="1" si="73"/>
        <v>45.699253336074193</v>
      </c>
      <c r="X71" s="4" t="str">
        <f t="shared" ca="1" si="73"/>
        <v xml:space="preserve">   mKV!</v>
      </c>
      <c r="Y71" s="4" t="str">
        <f t="shared" ca="1" si="73"/>
        <v xml:space="preserve">   mKV!</v>
      </c>
      <c r="Z71" s="4" t="str">
        <f t="shared" ca="1" si="73"/>
        <v xml:space="preserve">   mKV!</v>
      </c>
      <c r="AA71" s="4" t="str">
        <f t="shared" ca="1" si="73"/>
        <v xml:space="preserve">   mKV!</v>
      </c>
      <c r="AB71" s="4" t="str">
        <f t="shared" ca="1" si="73"/>
        <v xml:space="preserve">   mKV!</v>
      </c>
      <c r="AC71" s="4" t="str">
        <f t="shared" ca="1" si="73"/>
        <v xml:space="preserve">   mKV!</v>
      </c>
    </row>
    <row r="72" spans="1:29" x14ac:dyDescent="0.25">
      <c r="A72" s="15"/>
      <c r="B72">
        <v>200</v>
      </c>
      <c r="C72" s="4" t="str">
        <f t="shared" ref="C72:N72" ca="1" si="74">_xlfn.IFS(((C43^2/($C$6*C$69/$F$67/1000)+$R$5+4*C18+((C$69*$C$5-C43)-((C$69*$C$5-C43)^2-4*C18*($H$4+2*($H$10+$H$11))/1000)^(1/2))^2/($H$4+2*($H$10+$H$11))*1000)/(C$69*$C$10*0.95)/$F$67)&gt;$C$11,"    batt!",OR((((C$69*$C$5-C43)-((C$69*$C$5-C43)^2-4*C18*($H$4+2*($H$10+$H$11))/1000)^(1/2))/2/($H$4+2*($H$10+$H$11))*1000)&gt;$H$7,C18/SQRT(SQRT(($H$5+$M$5+(C$69*$F$67*$C$7+$B72)/4)*9.8/1000/$M$8/1.225/($M$4/1000)^4)*60/$H$8*(C$69*$C$5-C43-((C$69*$C$5-C43)-((C$69*$C$5-C43)^2-4*C18*($H$4+2*($H$10+$H$11))/1000)^(1/2))/2))&gt;$H$7),"   mOC!",C18&gt;$H$6,"    mop!",OR(SQRT(($H$5+$M$5+(C$69*$F$67*$C$7+$B72)/4)*9.8/1000/$M$8/1.225/($M$4/1000)^4)*60/$H$8/(C$69*$C$5-C43-((C$69*$C$5-C43)-((C$69*$C$5-C43)^2-4*C18*($H$4+2*($H$10+$H$11))/1000)^(1/2))/2)&gt;($R$8*0.95/100),SQRT(($H$5+$M$5+(C$69*$F$67*$C$7+$B72)/4)*9.8/1000/$M$8/1.225/($M$4/1000)^4)*60/$H$8/(C$69*$C$5-C43-((C$69*$C$5-C43)-((C$69*$C$5-C43)^2-4*C18*($H$4+2*($H$10+$H$11))/1000)^(1/2))/2)&lt;($R$7*0.95/100)),"   mKV!",TRUE,(1-$C$12/100)*(1-$R$4/100)*C$69*$F$67*$C$4*$C$5*60/1000/(C43^2/($C$6*C$69/$F$67/1000)+$R$5+4*C18+((C$69*$C$5-C43)-((C$69*$C$5-C43)^2-4*C18*($H$4+2*($H$10+$H$11))/1000)^(1/2))^2/($H$4+2*($H$10+$H$11))*1000))</f>
        <v xml:space="preserve">    batt!</v>
      </c>
      <c r="D72" s="4" t="str">
        <f t="shared" ca="1" si="74"/>
        <v xml:space="preserve">   mKV!</v>
      </c>
      <c r="E72" s="4">
        <f t="shared" ca="1" si="74"/>
        <v>53.906483969527713</v>
      </c>
      <c r="F72" s="4">
        <f t="shared" ca="1" si="74"/>
        <v>60.359712998744989</v>
      </c>
      <c r="G72" s="4">
        <f t="shared" ca="1" si="74"/>
        <v>64.22755029767788</v>
      </c>
      <c r="H72" s="4" t="str">
        <f t="shared" ca="1" si="74"/>
        <v xml:space="preserve">   mKV!</v>
      </c>
      <c r="I72" s="4" t="str">
        <f t="shared" ca="1" si="74"/>
        <v xml:space="preserve">   mKV!</v>
      </c>
      <c r="J72" s="4" t="str">
        <f t="shared" ca="1" si="74"/>
        <v xml:space="preserve">   mKV!</v>
      </c>
      <c r="K72" s="4" t="str">
        <f t="shared" ca="1" si="74"/>
        <v xml:space="preserve">   mKV!</v>
      </c>
      <c r="L72" s="4" t="str">
        <f t="shared" ca="1" si="74"/>
        <v xml:space="preserve">   mKV!</v>
      </c>
      <c r="M72" s="4" t="str">
        <f t="shared" ca="1" si="74"/>
        <v xml:space="preserve">   mKV!</v>
      </c>
      <c r="N72" s="4" t="str">
        <f t="shared" ca="1" si="74"/>
        <v xml:space="preserve">   mKV!</v>
      </c>
      <c r="P72" s="13"/>
      <c r="Q72">
        <v>3</v>
      </c>
      <c r="R72" s="4" t="str">
        <f t="shared" ref="R72:AC72" ca="1" si="75">_xlfn.IFS(((R43^2/($C$6*R$69/$Q72/1000)+$R$5+4*R18+((R$69*$C$5-R43)-((R$69*$C$5-R43)^2-4*R18*($H$4+2*($H$10+$H$11))/1000)^(1/2))^2/($H$4+2*($H$10+$H$11))*1000)/(R$69*$C$10*0.95)/$Q72)&gt;$C$11,"    batt!",OR((((R$69*$C$5-R43)-((R$69*$C$5-R43)^2-4*R18*($H$4+2*($H$10+$H$11))/1000)^(1/2))/2/($H$4+2*($H$10+$H$11))*1000)&gt;$H$7,R18/SQRT(SQRT(($H$5+$M$5+(R$69*$Q72*$C$7+$U$67)/4)*9.8/1000/$M$8/1.225/($M$4/1000)^4)*60/$H$8*(R$69*$C$5-R43-((R$69*$C$5-R43)-((R$69*$C$5-R43)^2-4*R18*($H$4+2*($H$10+$H$11))/1000)^(1/2))/2))&gt;$H$7),"   mOC!",R18&gt;$H$6,"    mop!",OR(SQRT(($H$5+$M$5+(R$69*$Q72*$C$7+$U$67)/4)*9.8/1000/$M$8/1.225/($M$4/1000)^4)*60/$H$8/(R$69*$C$5-R43-((R$69*$C$5-R43)-((R$69*$C$5-R43)^2-4*R18*($H$4+2*($H$10+$H$11))/1000)^(1/2))/2)&gt;($R$8*0.95/100),SQRT(($H$5+$M$5+(R$69*$Q72*$C$7+$U$67)/4)*9.8/1000/$M$8/1.225/($M$4/1000)^4)*60/$H$8/(R$69*$C$5-R43-((R$69*$C$5-R43)-((R$69*$C$5-R43)^2-4*R18*($H$4+2*($H$10+$H$11))/1000)^(1/2))/2)&lt;($R$7*0.95/100)),"   mKV!",TRUE,(1-$C$12/100)*(1-$R$4/100)*R$69*$Q72*$C$4*$C$5*60/1000/(R43^2/($C$6*R$69/$Q72/1000)+$R$5+4*R18+((R$69*$C$5-R43)-((R$69*$C$5-R43)^2-4*R18*($H$4+2*($H$10+$H$11))/1000)^(1/2))^2/($H$4+2*($H$10+$H$11))*1000))</f>
        <v xml:space="preserve">    batt!</v>
      </c>
      <c r="S72" s="4" t="str">
        <f t="shared" ca="1" si="75"/>
        <v xml:space="preserve">    batt!</v>
      </c>
      <c r="T72" s="4" t="str">
        <f t="shared" ca="1" si="75"/>
        <v xml:space="preserve">   mKV!</v>
      </c>
      <c r="U72" s="4" t="str">
        <f t="shared" ca="1" si="75"/>
        <v xml:space="preserve">   mKV!</v>
      </c>
      <c r="V72" s="4">
        <f t="shared" ca="1" si="75"/>
        <v>48.108752063897192</v>
      </c>
      <c r="W72" s="4">
        <f t="shared" ca="1" si="75"/>
        <v>49.86649378171159</v>
      </c>
      <c r="X72" s="4">
        <f t="shared" ca="1" si="75"/>
        <v>50.843640567559483</v>
      </c>
      <c r="Y72" s="4">
        <f t="shared" ca="1" si="75"/>
        <v>51.304009449324042</v>
      </c>
      <c r="Z72" s="4" t="str">
        <f t="shared" ca="1" si="75"/>
        <v xml:space="preserve">   mKV!</v>
      </c>
      <c r="AA72" s="4" t="str">
        <f t="shared" ca="1" si="75"/>
        <v xml:space="preserve">   mKV!</v>
      </c>
      <c r="AB72" s="4" t="str">
        <f t="shared" ca="1" si="75"/>
        <v xml:space="preserve">   mKV!</v>
      </c>
      <c r="AC72" s="4" t="str">
        <f t="shared" ca="1" si="75"/>
        <v xml:space="preserve">    mop!</v>
      </c>
    </row>
    <row r="73" spans="1:29" x14ac:dyDescent="0.25">
      <c r="A73" s="15"/>
      <c r="B73">
        <v>250</v>
      </c>
      <c r="C73" s="4" t="str">
        <f t="shared" ref="C73:N73" ca="1" si="76">_xlfn.IFS(((C44^2/($C$6*C$69/$F$67/1000)+$R$5+4*C19+((C$69*$C$5-C44)-((C$69*$C$5-C44)^2-4*C19*($H$4+2*($H$10+$H$11))/1000)^(1/2))^2/($H$4+2*($H$10+$H$11))*1000)/(C$69*$C$10*0.95)/$F$67)&gt;$C$11,"    batt!",OR((((C$69*$C$5-C44)-((C$69*$C$5-C44)^2-4*C19*($H$4+2*($H$10+$H$11))/1000)^(1/2))/2/($H$4+2*($H$10+$H$11))*1000)&gt;$H$7,C19/SQRT(SQRT(($H$5+$M$5+(C$69*$F$67*$C$7+$B73)/4)*9.8/1000/$M$8/1.225/($M$4/1000)^4)*60/$H$8*(C$69*$C$5-C44-((C$69*$C$5-C44)-((C$69*$C$5-C44)^2-4*C19*($H$4+2*($H$10+$H$11))/1000)^(1/2))/2))&gt;$H$7),"   mOC!",C19&gt;$H$6,"    mop!",OR(SQRT(($H$5+$M$5+(C$69*$F$67*$C$7+$B73)/4)*9.8/1000/$M$8/1.225/($M$4/1000)^4)*60/$H$8/(C$69*$C$5-C44-((C$69*$C$5-C44)-((C$69*$C$5-C44)^2-4*C19*($H$4+2*($H$10+$H$11))/1000)^(1/2))/2)&gt;($R$8*0.95/100),SQRT(($H$5+$M$5+(C$69*$F$67*$C$7+$B73)/4)*9.8/1000/$M$8/1.225/($M$4/1000)^4)*60/$H$8/(C$69*$C$5-C44-((C$69*$C$5-C44)-((C$69*$C$5-C44)^2-4*C19*($H$4+2*($H$10+$H$11))/1000)^(1/2))/2)&lt;($R$7*0.95/100)),"   mKV!",TRUE,(1-$C$12/100)*(1-$R$4/100)*C$69*$F$67*$C$4*$C$5*60/1000/(C44^2/($C$6*C$69/$F$67/1000)+$R$5+4*C19+((C$69*$C$5-C44)-((C$69*$C$5-C44)^2-4*C19*($H$4+2*($H$10+$H$11))/1000)^(1/2))^2/($H$4+2*($H$10+$H$11))*1000))</f>
        <v xml:space="preserve">    batt!</v>
      </c>
      <c r="D73" s="4" t="str">
        <f t="shared" ca="1" si="76"/>
        <v xml:space="preserve">   mKV!</v>
      </c>
      <c r="E73" s="4" t="str">
        <f t="shared" ca="1" si="76"/>
        <v xml:space="preserve">   mKV!</v>
      </c>
      <c r="F73" s="4">
        <f t="shared" ca="1" si="76"/>
        <v>56.788001426711219</v>
      </c>
      <c r="G73" s="4">
        <f t="shared" ca="1" si="76"/>
        <v>60.74343737203651</v>
      </c>
      <c r="H73" s="4" t="str">
        <f t="shared" ca="1" si="76"/>
        <v xml:space="preserve">   mKV!</v>
      </c>
      <c r="I73" s="4" t="str">
        <f t="shared" ca="1" si="76"/>
        <v xml:space="preserve">   mKV!</v>
      </c>
      <c r="J73" s="4" t="str">
        <f t="shared" ca="1" si="76"/>
        <v xml:space="preserve">   mKV!</v>
      </c>
      <c r="K73" s="4" t="str">
        <f t="shared" ca="1" si="76"/>
        <v xml:space="preserve">   mKV!</v>
      </c>
      <c r="L73" s="4" t="str">
        <f t="shared" ca="1" si="76"/>
        <v xml:space="preserve">   mKV!</v>
      </c>
      <c r="M73" s="4" t="str">
        <f t="shared" ca="1" si="76"/>
        <v xml:space="preserve">   mKV!</v>
      </c>
      <c r="N73" s="4" t="str">
        <f t="shared" ca="1" si="76"/>
        <v xml:space="preserve">   mKV!</v>
      </c>
      <c r="P73" s="13"/>
      <c r="Q73">
        <v>4</v>
      </c>
      <c r="R73" s="4" t="str">
        <f t="shared" ref="R73:AC73" ca="1" si="77">_xlfn.IFS(((R44^2/($C$6*R$69/$Q73/1000)+$R$5+4*R19+((R$69*$C$5-R44)-((R$69*$C$5-R44)^2-4*R19*($H$4+2*($H$10+$H$11))/1000)^(1/2))^2/($H$4+2*($H$10+$H$11))*1000)/(R$69*$C$10*0.95)/$Q73)&gt;$C$11,"    batt!",OR((((R$69*$C$5-R44)-((R$69*$C$5-R44)^2-4*R19*($H$4+2*($H$10+$H$11))/1000)^(1/2))/2/($H$4+2*($H$10+$H$11))*1000)&gt;$H$7,R19/SQRT(SQRT(($H$5+$M$5+(R$69*$Q73*$C$7+$U$67)/4)*9.8/1000/$M$8/1.225/($M$4/1000)^4)*60/$H$8*(R$69*$C$5-R44-((R$69*$C$5-R44)-((R$69*$C$5-R44)^2-4*R19*($H$4+2*($H$10+$H$11))/1000)^(1/2))/2))&gt;$H$7),"   mOC!",R19&gt;$H$6,"    mop!",OR(SQRT(($H$5+$M$5+(R$69*$Q73*$C$7+$U$67)/4)*9.8/1000/$M$8/1.225/($M$4/1000)^4)*60/$H$8/(R$69*$C$5-R44-((R$69*$C$5-R44)-((R$69*$C$5-R44)^2-4*R19*($H$4+2*($H$10+$H$11))/1000)^(1/2))/2)&gt;($R$8*0.95/100),SQRT(($H$5+$M$5+(R$69*$Q73*$C$7+$U$67)/4)*9.8/1000/$M$8/1.225/($M$4/1000)^4)*60/$H$8/(R$69*$C$5-R44-((R$69*$C$5-R44)-((R$69*$C$5-R44)^2-4*R19*($H$4+2*($H$10+$H$11))/1000)^(1/2))/2)&lt;($R$7*0.95/100)),"   mKV!",TRUE,(1-$C$12/100)*(1-$R$4/100)*R$69*$Q73*$C$4*$C$5*60/1000/(R44^2/($C$6*R$69/$Q73/1000)+$R$5+4*R19+((R$69*$C$5-R44)-((R$69*$C$5-R44)^2-4*R19*($H$4+2*($H$10+$H$11))/1000)^(1/2))^2/($H$4+2*($H$10+$H$11))*1000))</f>
        <v xml:space="preserve">    batt!</v>
      </c>
      <c r="S73" s="4" t="str">
        <f t="shared" ca="1" si="77"/>
        <v xml:space="preserve">   mKV!</v>
      </c>
      <c r="T73" s="4" t="str">
        <f t="shared" ca="1" si="77"/>
        <v xml:space="preserve">   mKV!</v>
      </c>
      <c r="U73" s="4" t="str">
        <f t="shared" ca="1" si="77"/>
        <v xml:space="preserve">   mKV!</v>
      </c>
      <c r="V73" s="4" t="str">
        <f t="shared" ca="1" si="77"/>
        <v xml:space="preserve">   mKV!</v>
      </c>
      <c r="W73" s="4">
        <f t="shared" ca="1" si="77"/>
        <v>50.852161620732673</v>
      </c>
      <c r="X73" s="4" t="str">
        <f t="shared" ca="1" si="77"/>
        <v xml:space="preserve">   mOC!</v>
      </c>
      <c r="Y73" s="4" t="str">
        <f t="shared" ca="1" si="77"/>
        <v xml:space="preserve">   mOC!</v>
      </c>
      <c r="Z73" s="4" t="str">
        <f t="shared" ca="1" si="77"/>
        <v xml:space="preserve">   mOC!</v>
      </c>
      <c r="AA73" s="4" t="str">
        <f t="shared" ca="1" si="77"/>
        <v xml:space="preserve">   mOC!</v>
      </c>
      <c r="AB73" s="4" t="str">
        <f t="shared" ca="1" si="77"/>
        <v xml:space="preserve">   mOC!</v>
      </c>
      <c r="AC73" s="4" t="str">
        <f t="shared" ca="1" si="77"/>
        <v xml:space="preserve">   mOC!</v>
      </c>
    </row>
    <row r="74" spans="1:29" x14ac:dyDescent="0.25">
      <c r="A74" s="15"/>
      <c r="B74">
        <v>300</v>
      </c>
      <c r="C74" s="4" t="str">
        <f t="shared" ref="C74:N74" ca="1" si="78">_xlfn.IFS(((C45^2/($C$6*C$69/$F$67/1000)+$R$5+4*C20+((C$69*$C$5-C45)-((C$69*$C$5-C45)^2-4*C20*($H$4+2*($H$10+$H$11))/1000)^(1/2))^2/($H$4+2*($H$10+$H$11))*1000)/(C$69*$C$10*0.95)/$F$67)&gt;$C$11,"    batt!",OR((((C$69*$C$5-C45)-((C$69*$C$5-C45)^2-4*C20*($H$4+2*($H$10+$H$11))/1000)^(1/2))/2/($H$4+2*($H$10+$H$11))*1000)&gt;$H$7,C20/SQRT(SQRT(($H$5+$M$5+(C$69*$F$67*$C$7+$B74)/4)*9.8/1000/$M$8/1.225/($M$4/1000)^4)*60/$H$8*(C$69*$C$5-C45-((C$69*$C$5-C45)-((C$69*$C$5-C45)^2-4*C20*($H$4+2*($H$10+$H$11))/1000)^(1/2))/2))&gt;$H$7),"   mOC!",C20&gt;$H$6,"    mop!",OR(SQRT(($H$5+$M$5+(C$69*$F$67*$C$7+$B74)/4)*9.8/1000/$M$8/1.225/($M$4/1000)^4)*60/$H$8/(C$69*$C$5-C45-((C$69*$C$5-C45)-((C$69*$C$5-C45)^2-4*C20*($H$4+2*($H$10+$H$11))/1000)^(1/2))/2)&gt;($R$8*0.95/100),SQRT(($H$5+$M$5+(C$69*$F$67*$C$7+$B74)/4)*9.8/1000/$M$8/1.225/($M$4/1000)^4)*60/$H$8/(C$69*$C$5-C45-((C$69*$C$5-C45)-((C$69*$C$5-C45)^2-4*C20*($H$4+2*($H$10+$H$11))/1000)^(1/2))/2)&lt;($R$7*0.95/100)),"   mKV!",TRUE,(1-$C$12/100)*(1-$R$4/100)*C$69*$F$67*$C$4*$C$5*60/1000/(C45^2/($C$6*C$69/$F$67/1000)+$R$5+4*C20+((C$69*$C$5-C45)-((C$69*$C$5-C45)^2-4*C20*($H$4+2*($H$10+$H$11))/1000)^(1/2))^2/($H$4+2*($H$10+$H$11))*1000))</f>
        <v xml:space="preserve">    batt!</v>
      </c>
      <c r="D74" s="4" t="str">
        <f t="shared" ca="1" si="78"/>
        <v xml:space="preserve">   mKV!</v>
      </c>
      <c r="E74" s="4" t="str">
        <f t="shared" ca="1" si="78"/>
        <v xml:space="preserve">   mKV!</v>
      </c>
      <c r="F74" s="4">
        <f t="shared" ca="1" si="78"/>
        <v>53.521899476343542</v>
      </c>
      <c r="G74" s="4">
        <f t="shared" ca="1" si="78"/>
        <v>57.53909764904941</v>
      </c>
      <c r="H74" s="4" t="str">
        <f t="shared" ca="1" si="78"/>
        <v xml:space="preserve">   mKV!</v>
      </c>
      <c r="I74" s="4" t="str">
        <f t="shared" ca="1" si="78"/>
        <v xml:space="preserve">   mKV!</v>
      </c>
      <c r="J74" s="4" t="str">
        <f t="shared" ca="1" si="78"/>
        <v xml:space="preserve">   mKV!</v>
      </c>
      <c r="K74" s="4" t="str">
        <f t="shared" ca="1" si="78"/>
        <v xml:space="preserve">   mKV!</v>
      </c>
      <c r="L74" s="4" t="str">
        <f t="shared" ca="1" si="78"/>
        <v xml:space="preserve">   mKV!</v>
      </c>
      <c r="M74" s="4" t="str">
        <f t="shared" ca="1" si="78"/>
        <v xml:space="preserve">   mKV!</v>
      </c>
      <c r="N74" s="4" t="str">
        <f t="shared" ca="1" si="78"/>
        <v xml:space="preserve">   mKV!</v>
      </c>
      <c r="P74" s="13"/>
      <c r="Q74">
        <v>5</v>
      </c>
      <c r="R74" s="4" t="str">
        <f t="shared" ref="R74:AC74" ca="1" si="79">_xlfn.IFS(((R45^2/($C$6*R$69/$Q74/1000)+$R$5+4*R20+((R$69*$C$5-R45)-((R$69*$C$5-R45)^2-4*R20*($H$4+2*($H$10+$H$11))/1000)^(1/2))^2/($H$4+2*($H$10+$H$11))*1000)/(R$69*$C$10*0.95)/$Q74)&gt;$C$11,"    batt!",OR((((R$69*$C$5-R45)-((R$69*$C$5-R45)^2-4*R20*($H$4+2*($H$10+$H$11))/1000)^(1/2))/2/($H$4+2*($H$10+$H$11))*1000)&gt;$H$7,R20/SQRT(SQRT(($H$5+$M$5+(R$69*$Q74*$C$7+$U$67)/4)*9.8/1000/$M$8/1.225/($M$4/1000)^4)*60/$H$8*(R$69*$C$5-R45-((R$69*$C$5-R45)-((R$69*$C$5-R45)^2-4*R20*($H$4+2*($H$10+$H$11))/1000)^(1/2))/2))&gt;$H$7),"   mOC!",R20&gt;$H$6,"    mop!",OR(SQRT(($H$5+$M$5+(R$69*$Q74*$C$7+$U$67)/4)*9.8/1000/$M$8/1.225/($M$4/1000)^4)*60/$H$8/(R$69*$C$5-R45-((R$69*$C$5-R45)-((R$69*$C$5-R45)^2-4*R20*($H$4+2*($H$10+$H$11))/1000)^(1/2))/2)&gt;($R$8*0.95/100),SQRT(($H$5+$M$5+(R$69*$Q74*$C$7+$U$67)/4)*9.8/1000/$M$8/1.225/($M$4/1000)^4)*60/$H$8/(R$69*$C$5-R45-((R$69*$C$5-R45)-((R$69*$C$5-R45)^2-4*R20*($H$4+2*($H$10+$H$11))/1000)^(1/2))/2)&lt;($R$7*0.95/100)),"   mKV!",TRUE,(1-$C$12/100)*(1-$R$4/100)*R$69*$Q74*$C$4*$C$5*60/1000/(R45^2/($C$6*R$69/$Q74/1000)+$R$5+4*R20+((R$69*$C$5-R45)-((R$69*$C$5-R45)^2-4*R20*($H$4+2*($H$10+$H$11))/1000)^(1/2))^2/($H$4+2*($H$10+$H$11))*1000))</f>
        <v xml:space="preserve">    batt!</v>
      </c>
      <c r="S74" s="4" t="str">
        <f t="shared" ca="1" si="79"/>
        <v xml:space="preserve">   mKV!</v>
      </c>
      <c r="T74" s="4" t="str">
        <f t="shared" ca="1" si="79"/>
        <v xml:space="preserve">   mKV!</v>
      </c>
      <c r="U74" s="4" t="str">
        <f t="shared" ca="1" si="79"/>
        <v xml:space="preserve">   mOC!</v>
      </c>
      <c r="V74" s="4" t="str">
        <f t="shared" ca="1" si="79"/>
        <v xml:space="preserve">   mOC!</v>
      </c>
      <c r="W74" s="4" t="str">
        <f t="shared" ca="1" si="79"/>
        <v xml:space="preserve">   mOC!</v>
      </c>
      <c r="X74" s="4" t="str">
        <f t="shared" ca="1" si="79"/>
        <v xml:space="preserve">   mOC!</v>
      </c>
      <c r="Y74" s="4" t="str">
        <f t="shared" ca="1" si="79"/>
        <v xml:space="preserve">   mOC!</v>
      </c>
      <c r="Z74" s="4" t="str">
        <f t="shared" ca="1" si="79"/>
        <v xml:space="preserve">   mOC!</v>
      </c>
      <c r="AA74" s="4" t="str">
        <f t="shared" ca="1" si="79"/>
        <v xml:space="preserve">   mOC!</v>
      </c>
      <c r="AB74" s="4" t="str">
        <f t="shared" ca="1" si="79"/>
        <v xml:space="preserve">   mOC!</v>
      </c>
      <c r="AC74" s="4" t="str">
        <f t="shared" ca="1" si="79"/>
        <v xml:space="preserve">   mOC!</v>
      </c>
    </row>
    <row r="75" spans="1:29" x14ac:dyDescent="0.25">
      <c r="A75" s="15"/>
      <c r="B75">
        <v>350</v>
      </c>
      <c r="C75" s="4" t="str">
        <f t="shared" ref="C75:N75" ca="1" si="80">_xlfn.IFS(((C46^2/($C$6*C$69/$F$67/1000)+$R$5+4*C21+((C$69*$C$5-C46)-((C$69*$C$5-C46)^2-4*C21*($H$4+2*($H$10+$H$11))/1000)^(1/2))^2/($H$4+2*($H$10+$H$11))*1000)/(C$69*$C$10*0.95)/$F$67)&gt;$C$11,"    batt!",OR((((C$69*$C$5-C46)-((C$69*$C$5-C46)^2-4*C21*($H$4+2*($H$10+$H$11))/1000)^(1/2))/2/($H$4+2*($H$10+$H$11))*1000)&gt;$H$7,C21/SQRT(SQRT(($H$5+$M$5+(C$69*$F$67*$C$7+$B75)/4)*9.8/1000/$M$8/1.225/($M$4/1000)^4)*60/$H$8*(C$69*$C$5-C46-((C$69*$C$5-C46)-((C$69*$C$5-C46)^2-4*C21*($H$4+2*($H$10+$H$11))/1000)^(1/2))/2))&gt;$H$7),"   mOC!",C21&gt;$H$6,"    mop!",OR(SQRT(($H$5+$M$5+(C$69*$F$67*$C$7+$B75)/4)*9.8/1000/$M$8/1.225/($M$4/1000)^4)*60/$H$8/(C$69*$C$5-C46-((C$69*$C$5-C46)-((C$69*$C$5-C46)^2-4*C21*($H$4+2*($H$10+$H$11))/1000)^(1/2))/2)&gt;($R$8*0.95/100),SQRT(($H$5+$M$5+(C$69*$F$67*$C$7+$B75)/4)*9.8/1000/$M$8/1.225/($M$4/1000)^4)*60/$H$8/(C$69*$C$5-C46-((C$69*$C$5-C46)-((C$69*$C$5-C46)^2-4*C21*($H$4+2*($H$10+$H$11))/1000)^(1/2))/2)&lt;($R$7*0.95/100)),"   mKV!",TRUE,(1-$C$12/100)*(1-$R$4/100)*C$69*$F$67*$C$4*$C$5*60/1000/(C46^2/($C$6*C$69/$F$67/1000)+$R$5+4*C21+((C$69*$C$5-C46)-((C$69*$C$5-C46)^2-4*C21*($H$4+2*($H$10+$H$11))/1000)^(1/2))^2/($H$4+2*($H$10+$H$11))*1000))</f>
        <v xml:space="preserve">    batt!</v>
      </c>
      <c r="D75" s="4" t="str">
        <f t="shared" ca="1" si="80"/>
        <v xml:space="preserve">    batt!</v>
      </c>
      <c r="E75" s="4" t="str">
        <f t="shared" ca="1" si="80"/>
        <v xml:space="preserve">   mKV!</v>
      </c>
      <c r="F75" s="4">
        <f t="shared" ca="1" si="80"/>
        <v>50.529019776469241</v>
      </c>
      <c r="G75" s="4">
        <f t="shared" ca="1" si="80"/>
        <v>54.586038466087437</v>
      </c>
      <c r="H75" s="4" t="str">
        <f t="shared" ca="1" si="80"/>
        <v xml:space="preserve">   mKV!</v>
      </c>
      <c r="I75" s="4" t="str">
        <f t="shared" ca="1" si="80"/>
        <v xml:space="preserve">   mKV!</v>
      </c>
      <c r="J75" s="4" t="str">
        <f t="shared" ca="1" si="80"/>
        <v xml:space="preserve">   mKV!</v>
      </c>
      <c r="K75" s="4" t="str">
        <f t="shared" ca="1" si="80"/>
        <v xml:space="preserve">   mKV!</v>
      </c>
      <c r="L75" s="4" t="str">
        <f t="shared" ca="1" si="80"/>
        <v xml:space="preserve">   mKV!</v>
      </c>
      <c r="M75" s="4" t="str">
        <f t="shared" ca="1" si="80"/>
        <v xml:space="preserve">   mKV!</v>
      </c>
      <c r="N75" s="4" t="str">
        <f t="shared" ca="1" si="80"/>
        <v xml:space="preserve">   mKV!</v>
      </c>
      <c r="P75" s="13"/>
      <c r="Q75">
        <v>6</v>
      </c>
      <c r="R75" s="4" t="str">
        <f t="shared" ref="R75:AC75" ca="1" si="81">_xlfn.IFS(((R46^2/($C$6*R$69/$Q75/1000)+$R$5+4*R21+((R$69*$C$5-R46)-((R$69*$C$5-R46)^2-4*R21*($H$4+2*($H$10+$H$11))/1000)^(1/2))^2/($H$4+2*($H$10+$H$11))*1000)/(R$69*$C$10*0.95)/$Q75)&gt;$C$11,"    batt!",OR((((R$69*$C$5-R46)-((R$69*$C$5-R46)^2-4*R21*($H$4+2*($H$10+$H$11))/1000)^(1/2))/2/($H$4+2*($H$10+$H$11))*1000)&gt;$H$7,R21/SQRT(SQRT(($H$5+$M$5+(R$69*$Q75*$C$7+$U$67)/4)*9.8/1000/$M$8/1.225/($M$4/1000)^4)*60/$H$8*(R$69*$C$5-R46-((R$69*$C$5-R46)-((R$69*$C$5-R46)^2-4*R21*($H$4+2*($H$10+$H$11))/1000)^(1/2))/2))&gt;$H$7),"   mOC!",R21&gt;$H$6,"    mop!",OR(SQRT(($H$5+$M$5+(R$69*$Q75*$C$7+$U$67)/4)*9.8/1000/$M$8/1.225/($M$4/1000)^4)*60/$H$8/(R$69*$C$5-R46-((R$69*$C$5-R46)-((R$69*$C$5-R46)^2-4*R21*($H$4+2*($H$10+$H$11))/1000)^(1/2))/2)&gt;($R$8*0.95/100),SQRT(($H$5+$M$5+(R$69*$Q75*$C$7+$U$67)/4)*9.8/1000/$M$8/1.225/($M$4/1000)^4)*60/$H$8/(R$69*$C$5-R46-((R$69*$C$5-R46)-((R$69*$C$5-R46)^2-4*R21*($H$4+2*($H$10+$H$11))/1000)^(1/2))/2)&lt;($R$7*0.95/100)),"   mKV!",TRUE,(1-$C$12/100)*(1-$R$4/100)*R$69*$Q75*$C$4*$C$5*60/1000/(R46^2/($C$6*R$69/$Q75/1000)+$R$5+4*R21+((R$69*$C$5-R46)-((R$69*$C$5-R46)^2-4*R21*($H$4+2*($H$10+$H$11))/1000)^(1/2))^2/($H$4+2*($H$10+$H$11))*1000))</f>
        <v xml:space="preserve">    batt!</v>
      </c>
      <c r="S75" s="4" t="str">
        <f t="shared" ca="1" si="81"/>
        <v xml:space="preserve">   mOC!</v>
      </c>
      <c r="T75" s="4" t="str">
        <f t="shared" ca="1" si="81"/>
        <v xml:space="preserve">   mOC!</v>
      </c>
      <c r="U75" s="4" t="str">
        <f t="shared" ca="1" si="81"/>
        <v xml:space="preserve">   mOC!</v>
      </c>
      <c r="V75" s="4" t="str">
        <f t="shared" ca="1" si="81"/>
        <v xml:space="preserve">   mOC!</v>
      </c>
      <c r="W75" s="4" t="str">
        <f t="shared" ca="1" si="81"/>
        <v xml:space="preserve">   mOC!</v>
      </c>
      <c r="X75" s="4" t="str">
        <f t="shared" ca="1" si="81"/>
        <v xml:space="preserve">   mOC!</v>
      </c>
      <c r="Y75" s="4" t="str">
        <f t="shared" ca="1" si="81"/>
        <v xml:space="preserve">   mOC!</v>
      </c>
      <c r="Z75" s="4" t="str">
        <f t="shared" ca="1" si="81"/>
        <v xml:space="preserve">   mOC!</v>
      </c>
      <c r="AA75" s="4" t="str">
        <f t="shared" ca="1" si="81"/>
        <v xml:space="preserve">   mOC!</v>
      </c>
      <c r="AB75" s="4" t="str">
        <f t="shared" ca="1" si="81"/>
        <v xml:space="preserve">   mOC!</v>
      </c>
      <c r="AC75" s="4" t="str">
        <f t="shared" ca="1" si="81"/>
        <v xml:space="preserve">   mOC!</v>
      </c>
    </row>
    <row r="76" spans="1:29" x14ac:dyDescent="0.25">
      <c r="A76" s="15"/>
      <c r="B76">
        <v>400</v>
      </c>
      <c r="C76" s="4" t="str">
        <f t="shared" ref="C76:N76" ca="1" si="82">_xlfn.IFS(((C47^2/($C$6*C$69/$F$67/1000)+$R$5+4*C22+((C$69*$C$5-C47)-((C$69*$C$5-C47)^2-4*C22*($H$4+2*($H$10+$H$11))/1000)^(1/2))^2/($H$4+2*($H$10+$H$11))*1000)/(C$69*$C$10*0.95)/$F$67)&gt;$C$11,"    batt!",OR((((C$69*$C$5-C47)-((C$69*$C$5-C47)^2-4*C22*($H$4+2*($H$10+$H$11))/1000)^(1/2))/2/($H$4+2*($H$10+$H$11))*1000)&gt;$H$7,C22/SQRT(SQRT(($H$5+$M$5+(C$69*$F$67*$C$7+$B76)/4)*9.8/1000/$M$8/1.225/($M$4/1000)^4)*60/$H$8*(C$69*$C$5-C47-((C$69*$C$5-C47)-((C$69*$C$5-C47)^2-4*C22*($H$4+2*($H$10+$H$11))/1000)^(1/2))/2))&gt;$H$7),"   mOC!",C22&gt;$H$6,"    mop!",OR(SQRT(($H$5+$M$5+(C$69*$F$67*$C$7+$B76)/4)*9.8/1000/$M$8/1.225/($M$4/1000)^4)*60/$H$8/(C$69*$C$5-C47-((C$69*$C$5-C47)-((C$69*$C$5-C47)^2-4*C22*($H$4+2*($H$10+$H$11))/1000)^(1/2))/2)&gt;($R$8*0.95/100),SQRT(($H$5+$M$5+(C$69*$F$67*$C$7+$B76)/4)*9.8/1000/$M$8/1.225/($M$4/1000)^4)*60/$H$8/(C$69*$C$5-C47-((C$69*$C$5-C47)-((C$69*$C$5-C47)^2-4*C22*($H$4+2*($H$10+$H$11))/1000)^(1/2))/2)&lt;($R$7*0.95/100)),"   mKV!",TRUE,(1-$C$12/100)*(1-$R$4/100)*C$69*$F$67*$C$4*$C$5*60/1000/(C47^2/($C$6*C$69/$F$67/1000)+$R$5+4*C22+((C$69*$C$5-C47)-((C$69*$C$5-C47)^2-4*C22*($H$4+2*($H$10+$H$11))/1000)^(1/2))^2/($H$4+2*($H$10+$H$11))*1000))</f>
        <v xml:space="preserve">    batt!</v>
      </c>
      <c r="D76" s="4" t="str">
        <f t="shared" ca="1" si="82"/>
        <v xml:space="preserve">    batt!</v>
      </c>
      <c r="E76" s="4" t="str">
        <f t="shared" ca="1" si="82"/>
        <v xml:space="preserve">   mKV!</v>
      </c>
      <c r="F76" s="4">
        <f t="shared" ca="1" si="82"/>
        <v>47.780771168200538</v>
      </c>
      <c r="G76" s="4">
        <f t="shared" ca="1" si="82"/>
        <v>51.859106618402841</v>
      </c>
      <c r="H76" s="4">
        <f t="shared" ca="1" si="82"/>
        <v>54.571477411086626</v>
      </c>
      <c r="I76" s="4" t="str">
        <f t="shared" ca="1" si="82"/>
        <v xml:space="preserve">   mKV!</v>
      </c>
      <c r="J76" s="4" t="str">
        <f t="shared" ca="1" si="82"/>
        <v xml:space="preserve">   mKV!</v>
      </c>
      <c r="K76" s="4" t="str">
        <f t="shared" ca="1" si="82"/>
        <v xml:space="preserve">   mKV!</v>
      </c>
      <c r="L76" s="4" t="str">
        <f t="shared" ca="1" si="82"/>
        <v xml:space="preserve">   mKV!</v>
      </c>
      <c r="M76" s="4" t="str">
        <f t="shared" ca="1" si="82"/>
        <v xml:space="preserve">   mKV!</v>
      </c>
      <c r="N76" s="4" t="str">
        <f t="shared" ca="1" si="82"/>
        <v xml:space="preserve">   mKV!</v>
      </c>
      <c r="P76" s="13"/>
      <c r="Q76">
        <v>7</v>
      </c>
      <c r="R76" s="4" t="e">
        <f t="shared" ref="R76:AC76" ca="1" si="83">_xlfn.IFS(((R47^2/($C$6*R$69/$Q76/1000)+$R$5+4*R22+((R$69*$C$5-R47)-((R$69*$C$5-R47)^2-4*R22*($H$4+2*($H$10+$H$11))/1000)^(1/2))^2/($H$4+2*($H$10+$H$11))*1000)/(R$69*$C$10*0.95)/$Q76)&gt;$C$11,"    batt!",OR((((R$69*$C$5-R47)-((R$69*$C$5-R47)^2-4*R22*($H$4+2*($H$10+$H$11))/1000)^(1/2))/2/($H$4+2*($H$10+$H$11))*1000)&gt;$H$7,R22/SQRT(SQRT(($H$5+$M$5+(R$69*$Q76*$C$7+$U$67)/4)*9.8/1000/$M$8/1.225/($M$4/1000)^4)*60/$H$8*(R$69*$C$5-R47-((R$69*$C$5-R47)-((R$69*$C$5-R47)^2-4*R22*($H$4+2*($H$10+$H$11))/1000)^(1/2))/2))&gt;$H$7),"   mOC!",R22&gt;$H$6,"    mop!",OR(SQRT(($H$5+$M$5+(R$69*$Q76*$C$7+$U$67)/4)*9.8/1000/$M$8/1.225/($M$4/1000)^4)*60/$H$8/(R$69*$C$5-R47-((R$69*$C$5-R47)-((R$69*$C$5-R47)^2-4*R22*($H$4+2*($H$10+$H$11))/1000)^(1/2))/2)&gt;($R$8*0.95/100),SQRT(($H$5+$M$5+(R$69*$Q76*$C$7+$U$67)/4)*9.8/1000/$M$8/1.225/($M$4/1000)^4)*60/$H$8/(R$69*$C$5-R47-((R$69*$C$5-R47)-((R$69*$C$5-R47)^2-4*R22*($H$4+2*($H$10+$H$11))/1000)^(1/2))/2)&lt;($R$7*0.95/100)),"   mKV!",TRUE,(1-$C$12/100)*(1-$R$4/100)*R$69*$Q76*$C$4*$C$5*60/1000/(R47^2/($C$6*R$69/$Q76/1000)+$R$5+4*R22+((R$69*$C$5-R47)-((R$69*$C$5-R47)^2-4*R22*($H$4+2*($H$10+$H$11))/1000)^(1/2))^2/($H$4+2*($H$10+$H$11))*1000))</f>
        <v>#NUM!</v>
      </c>
      <c r="S76" s="4" t="str">
        <f t="shared" ca="1" si="83"/>
        <v xml:space="preserve">   mOC!</v>
      </c>
      <c r="T76" s="4" t="str">
        <f t="shared" ca="1" si="83"/>
        <v xml:space="preserve">   mOC!</v>
      </c>
      <c r="U76" s="4" t="str">
        <f t="shared" ca="1" si="83"/>
        <v xml:space="preserve">   mOC!</v>
      </c>
      <c r="V76" s="4" t="str">
        <f t="shared" ca="1" si="83"/>
        <v xml:space="preserve">   mOC!</v>
      </c>
      <c r="W76" s="4" t="str">
        <f t="shared" ca="1" si="83"/>
        <v xml:space="preserve">   mOC!</v>
      </c>
      <c r="X76" s="4" t="str">
        <f t="shared" ca="1" si="83"/>
        <v xml:space="preserve">   mOC!</v>
      </c>
      <c r="Y76" s="4" t="str">
        <f t="shared" ca="1" si="83"/>
        <v xml:space="preserve">   mOC!</v>
      </c>
      <c r="Z76" s="4" t="str">
        <f t="shared" ca="1" si="83"/>
        <v xml:space="preserve">   mOC!</v>
      </c>
      <c r="AA76" s="4" t="str">
        <f t="shared" ca="1" si="83"/>
        <v xml:space="preserve">   mOC!</v>
      </c>
      <c r="AB76" s="4" t="str">
        <f t="shared" ca="1" si="83"/>
        <v xml:space="preserve">   mOC!</v>
      </c>
      <c r="AC76" s="4" t="str">
        <f t="shared" ca="1" si="83"/>
        <v xml:space="preserve">   mOC!</v>
      </c>
    </row>
    <row r="77" spans="1:29" x14ac:dyDescent="0.25">
      <c r="A77" s="15"/>
      <c r="B77">
        <v>450</v>
      </c>
      <c r="C77" s="4" t="str">
        <f t="shared" ref="C77:N77" ca="1" si="84">_xlfn.IFS(((C48^2/($C$6*C$69/$F$67/1000)+$R$5+4*C23+((C$69*$C$5-C48)-((C$69*$C$5-C48)^2-4*C23*($H$4+2*($H$10+$H$11))/1000)^(1/2))^2/($H$4+2*($H$10+$H$11))*1000)/(C$69*$C$10*0.95)/$F$67)&gt;$C$11,"    batt!",OR((((C$69*$C$5-C48)-((C$69*$C$5-C48)^2-4*C23*($H$4+2*($H$10+$H$11))/1000)^(1/2))/2/($H$4+2*($H$10+$H$11))*1000)&gt;$H$7,C23/SQRT(SQRT(($H$5+$M$5+(C$69*$F$67*$C$7+$B77)/4)*9.8/1000/$M$8/1.225/($M$4/1000)^4)*60/$H$8*(C$69*$C$5-C48-((C$69*$C$5-C48)-((C$69*$C$5-C48)^2-4*C23*($H$4+2*($H$10+$H$11))/1000)^(1/2))/2))&gt;$H$7),"   mOC!",C23&gt;$H$6,"    mop!",OR(SQRT(($H$5+$M$5+(C$69*$F$67*$C$7+$B77)/4)*9.8/1000/$M$8/1.225/($M$4/1000)^4)*60/$H$8/(C$69*$C$5-C48-((C$69*$C$5-C48)-((C$69*$C$5-C48)^2-4*C23*($H$4+2*($H$10+$H$11))/1000)^(1/2))/2)&gt;($R$8*0.95/100),SQRT(($H$5+$M$5+(C$69*$F$67*$C$7+$B77)/4)*9.8/1000/$M$8/1.225/($M$4/1000)^4)*60/$H$8/(C$69*$C$5-C48-((C$69*$C$5-C48)-((C$69*$C$5-C48)^2-4*C23*($H$4+2*($H$10+$H$11))/1000)^(1/2))/2)&lt;($R$7*0.95/100)),"   mKV!",TRUE,(1-$C$12/100)*(1-$R$4/100)*C$69*$F$67*$C$4*$C$5*60/1000/(C48^2/($C$6*C$69/$F$67/1000)+$R$5+4*C23+((C$69*$C$5-C48)-((C$69*$C$5-C48)^2-4*C23*($H$4+2*($H$10+$H$11))/1000)^(1/2))^2/($H$4+2*($H$10+$H$11))*1000))</f>
        <v xml:space="preserve">    batt!</v>
      </c>
      <c r="D77" s="4" t="str">
        <f t="shared" ca="1" si="84"/>
        <v xml:space="preserve">    batt!</v>
      </c>
      <c r="E77" s="4" t="str">
        <f t="shared" ca="1" si="84"/>
        <v xml:space="preserve">   mKV!</v>
      </c>
      <c r="F77" s="4">
        <f t="shared" ca="1" si="84"/>
        <v>45.251928363686943</v>
      </c>
      <c r="G77" s="4">
        <f t="shared" ca="1" si="84"/>
        <v>49.336073593729203</v>
      </c>
      <c r="H77" s="4">
        <f t="shared" ca="1" si="84"/>
        <v>52.11603389707593</v>
      </c>
      <c r="I77" s="4" t="str">
        <f t="shared" ca="1" si="84"/>
        <v xml:space="preserve">   mKV!</v>
      </c>
      <c r="J77" s="4" t="str">
        <f t="shared" ca="1" si="84"/>
        <v xml:space="preserve">   mKV!</v>
      </c>
      <c r="K77" s="4" t="str">
        <f t="shared" ca="1" si="84"/>
        <v xml:space="preserve">   mKV!</v>
      </c>
      <c r="L77" s="4" t="str">
        <f t="shared" ca="1" si="84"/>
        <v xml:space="preserve">   mKV!</v>
      </c>
      <c r="M77" s="4" t="str">
        <f t="shared" ca="1" si="84"/>
        <v xml:space="preserve">   mKV!</v>
      </c>
      <c r="N77" s="4" t="str">
        <f t="shared" ca="1" si="84"/>
        <v xml:space="preserve">   mKV!</v>
      </c>
      <c r="P77" s="13"/>
      <c r="Q77">
        <v>8</v>
      </c>
      <c r="R77" s="4" t="e">
        <f t="shared" ref="R77:AC77" ca="1" si="85">_xlfn.IFS(((R48^2/($C$6*R$69/$Q77/1000)+$R$5+4*R23+((R$69*$C$5-R48)-((R$69*$C$5-R48)^2-4*R23*($H$4+2*($H$10+$H$11))/1000)^(1/2))^2/($H$4+2*($H$10+$H$11))*1000)/(R$69*$C$10*0.95)/$Q77)&gt;$C$11,"    batt!",OR((((R$69*$C$5-R48)-((R$69*$C$5-R48)^2-4*R23*($H$4+2*($H$10+$H$11))/1000)^(1/2))/2/($H$4+2*($H$10+$H$11))*1000)&gt;$H$7,R23/SQRT(SQRT(($H$5+$M$5+(R$69*$Q77*$C$7+$U$67)/4)*9.8/1000/$M$8/1.225/($M$4/1000)^4)*60/$H$8*(R$69*$C$5-R48-((R$69*$C$5-R48)-((R$69*$C$5-R48)^2-4*R23*($H$4+2*($H$10+$H$11))/1000)^(1/2))/2))&gt;$H$7),"   mOC!",R23&gt;$H$6,"    mop!",OR(SQRT(($H$5+$M$5+(R$69*$Q77*$C$7+$U$67)/4)*9.8/1000/$M$8/1.225/($M$4/1000)^4)*60/$H$8/(R$69*$C$5-R48-((R$69*$C$5-R48)-((R$69*$C$5-R48)^2-4*R23*($H$4+2*($H$10+$H$11))/1000)^(1/2))/2)&gt;($R$8*0.95/100),SQRT(($H$5+$M$5+(R$69*$Q77*$C$7+$U$67)/4)*9.8/1000/$M$8/1.225/($M$4/1000)^4)*60/$H$8/(R$69*$C$5-R48-((R$69*$C$5-R48)-((R$69*$C$5-R48)^2-4*R23*($H$4+2*($H$10+$H$11))/1000)^(1/2))/2)&lt;($R$7*0.95/100)),"   mKV!",TRUE,(1-$C$12/100)*(1-$R$4/100)*R$69*$Q77*$C$4*$C$5*60/1000/(R48^2/($C$6*R$69/$Q77/1000)+$R$5+4*R23+((R$69*$C$5-R48)-((R$69*$C$5-R48)^2-4*R23*($H$4+2*($H$10+$H$11))/1000)^(1/2))^2/($H$4+2*($H$10+$H$11))*1000))</f>
        <v>#NUM!</v>
      </c>
      <c r="S77" s="4" t="str">
        <f t="shared" ca="1" si="85"/>
        <v xml:space="preserve">   mOC!</v>
      </c>
      <c r="T77" s="4" t="str">
        <f t="shared" ca="1" si="85"/>
        <v xml:space="preserve">   mOC!</v>
      </c>
      <c r="U77" s="4" t="str">
        <f t="shared" ca="1" si="85"/>
        <v xml:space="preserve">   mOC!</v>
      </c>
      <c r="V77" s="4" t="str">
        <f t="shared" ca="1" si="85"/>
        <v xml:space="preserve">   mOC!</v>
      </c>
      <c r="W77" s="4" t="str">
        <f t="shared" ca="1" si="85"/>
        <v xml:space="preserve">   mOC!</v>
      </c>
      <c r="X77" s="4" t="str">
        <f t="shared" ca="1" si="85"/>
        <v xml:space="preserve">   mOC!</v>
      </c>
      <c r="Y77" s="4" t="str">
        <f t="shared" ca="1" si="85"/>
        <v xml:space="preserve">   mOC!</v>
      </c>
      <c r="Z77" s="4" t="str">
        <f t="shared" ca="1" si="85"/>
        <v xml:space="preserve">   mOC!</v>
      </c>
      <c r="AA77" s="4" t="str">
        <f t="shared" ca="1" si="85"/>
        <v xml:space="preserve">   mOC!</v>
      </c>
      <c r="AB77" s="4" t="str">
        <f t="shared" ca="1" si="85"/>
        <v xml:space="preserve">   mOC!</v>
      </c>
      <c r="AC77" s="4" t="str">
        <f t="shared" ca="1" si="85"/>
        <v xml:space="preserve">   mOC!</v>
      </c>
    </row>
    <row r="78" spans="1:29" x14ac:dyDescent="0.25">
      <c r="A78" s="15"/>
      <c r="B78">
        <v>500</v>
      </c>
      <c r="C78" s="4" t="str">
        <f t="shared" ref="C78:N78" ca="1" si="86">_xlfn.IFS(((C49^2/($C$6*C$69/$F$67/1000)+$R$5+4*C24+((C$69*$C$5-C49)-((C$69*$C$5-C49)^2-4*C24*($H$4+2*($H$10+$H$11))/1000)^(1/2))^2/($H$4+2*($H$10+$H$11))*1000)/(C$69*$C$10*0.95)/$F$67)&gt;$C$11,"    batt!",OR((((C$69*$C$5-C49)-((C$69*$C$5-C49)^2-4*C24*($H$4+2*($H$10+$H$11))/1000)^(1/2))/2/($H$4+2*($H$10+$H$11))*1000)&gt;$H$7,C24/SQRT(SQRT(($H$5+$M$5+(C$69*$F$67*$C$7+$B78)/4)*9.8/1000/$M$8/1.225/($M$4/1000)^4)*60/$H$8*(C$69*$C$5-C49-((C$69*$C$5-C49)-((C$69*$C$5-C49)^2-4*C24*($H$4+2*($H$10+$H$11))/1000)^(1/2))/2))&gt;$H$7),"   mOC!",C24&gt;$H$6,"    mop!",OR(SQRT(($H$5+$M$5+(C$69*$F$67*$C$7+$B78)/4)*9.8/1000/$M$8/1.225/($M$4/1000)^4)*60/$H$8/(C$69*$C$5-C49-((C$69*$C$5-C49)-((C$69*$C$5-C49)^2-4*C24*($H$4+2*($H$10+$H$11))/1000)^(1/2))/2)&gt;($R$8*0.95/100),SQRT(($H$5+$M$5+(C$69*$F$67*$C$7+$B78)/4)*9.8/1000/$M$8/1.225/($M$4/1000)^4)*60/$H$8/(C$69*$C$5-C49-((C$69*$C$5-C49)-((C$69*$C$5-C49)^2-4*C24*($H$4+2*($H$10+$H$11))/1000)^(1/2))/2)&lt;($R$7*0.95/100)),"   mKV!",TRUE,(1-$C$12/100)*(1-$R$4/100)*C$69*$F$67*$C$4*$C$5*60/1000/(C49^2/($C$6*C$69/$F$67/1000)+$R$5+4*C24+((C$69*$C$5-C49)-((C$69*$C$5-C49)^2-4*C24*($H$4+2*($H$10+$H$11))/1000)^(1/2))^2/($H$4+2*($H$10+$H$11))*1000))</f>
        <v xml:space="preserve">    batt!</v>
      </c>
      <c r="D78" s="4" t="str">
        <f t="shared" ca="1" si="86"/>
        <v xml:space="preserve">    batt!</v>
      </c>
      <c r="E78" s="4" t="str">
        <f t="shared" ca="1" si="86"/>
        <v xml:space="preserve">   mKV!</v>
      </c>
      <c r="F78" s="4">
        <f t="shared" ca="1" si="86"/>
        <v>42.920231891521517</v>
      </c>
      <c r="G78" s="4">
        <f t="shared" ca="1" si="86"/>
        <v>46.997268862984754</v>
      </c>
      <c r="H78" s="4">
        <f t="shared" ca="1" si="86"/>
        <v>49.828611973043067</v>
      </c>
      <c r="I78" s="4" t="str">
        <f t="shared" ca="1" si="86"/>
        <v xml:space="preserve">   mKV!</v>
      </c>
      <c r="J78" s="4" t="str">
        <f t="shared" ca="1" si="86"/>
        <v xml:space="preserve">   mKV!</v>
      </c>
      <c r="K78" s="4" t="str">
        <f t="shared" ca="1" si="86"/>
        <v xml:space="preserve">   mKV!</v>
      </c>
      <c r="L78" s="4" t="str">
        <f t="shared" ca="1" si="86"/>
        <v xml:space="preserve">   mKV!</v>
      </c>
      <c r="M78" s="4" t="str">
        <f t="shared" ca="1" si="86"/>
        <v xml:space="preserve">   mKV!</v>
      </c>
      <c r="N78" s="4" t="str">
        <f t="shared" ca="1" si="86"/>
        <v xml:space="preserve">   mKV!</v>
      </c>
      <c r="P78" s="13"/>
      <c r="Q78">
        <v>9</v>
      </c>
      <c r="R78" s="4" t="e">
        <f t="shared" ref="R78:AC78" ca="1" si="87">_xlfn.IFS(((R49^2/($C$6*R$69/$Q78/1000)+$R$5+4*R24+((R$69*$C$5-R49)-((R$69*$C$5-R49)^2-4*R24*($H$4+2*($H$10+$H$11))/1000)^(1/2))^2/($H$4+2*($H$10+$H$11))*1000)/(R$69*$C$10*0.95)/$Q78)&gt;$C$11,"    batt!",OR((((R$69*$C$5-R49)-((R$69*$C$5-R49)^2-4*R24*($H$4+2*($H$10+$H$11))/1000)^(1/2))/2/($H$4+2*($H$10+$H$11))*1000)&gt;$H$7,R24/SQRT(SQRT(($H$5+$M$5+(R$69*$Q78*$C$7+$U$67)/4)*9.8/1000/$M$8/1.225/($M$4/1000)^4)*60/$H$8*(R$69*$C$5-R49-((R$69*$C$5-R49)-((R$69*$C$5-R49)^2-4*R24*($H$4+2*($H$10+$H$11))/1000)^(1/2))/2))&gt;$H$7),"   mOC!",R24&gt;$H$6,"    mop!",OR(SQRT(($H$5+$M$5+(R$69*$Q78*$C$7+$U$67)/4)*9.8/1000/$M$8/1.225/($M$4/1000)^4)*60/$H$8/(R$69*$C$5-R49-((R$69*$C$5-R49)-((R$69*$C$5-R49)^2-4*R24*($H$4+2*($H$10+$H$11))/1000)^(1/2))/2)&gt;($R$8*0.95/100),SQRT(($H$5+$M$5+(R$69*$Q78*$C$7+$U$67)/4)*9.8/1000/$M$8/1.225/($M$4/1000)^4)*60/$H$8/(R$69*$C$5-R49-((R$69*$C$5-R49)-((R$69*$C$5-R49)^2-4*R24*($H$4+2*($H$10+$H$11))/1000)^(1/2))/2)&lt;($R$7*0.95/100)),"   mKV!",TRUE,(1-$C$12/100)*(1-$R$4/100)*R$69*$Q78*$C$4*$C$5*60/1000/(R49^2/($C$6*R$69/$Q78/1000)+$R$5+4*R24+((R$69*$C$5-R49)-((R$69*$C$5-R49)^2-4*R24*($H$4+2*($H$10+$H$11))/1000)^(1/2))^2/($H$4+2*($H$10+$H$11))*1000))</f>
        <v>#NUM!</v>
      </c>
      <c r="S78" s="4" t="str">
        <f t="shared" ca="1" si="87"/>
        <v xml:space="preserve">   mOC!</v>
      </c>
      <c r="T78" s="4" t="str">
        <f t="shared" ca="1" si="87"/>
        <v xml:space="preserve">   mOC!</v>
      </c>
      <c r="U78" s="4" t="str">
        <f t="shared" ca="1" si="87"/>
        <v xml:space="preserve">   mOC!</v>
      </c>
      <c r="V78" s="4" t="str">
        <f t="shared" ca="1" si="87"/>
        <v xml:space="preserve">   mOC!</v>
      </c>
      <c r="W78" s="4" t="str">
        <f t="shared" ca="1" si="87"/>
        <v xml:space="preserve">   mOC!</v>
      </c>
      <c r="X78" s="4" t="str">
        <f t="shared" ca="1" si="87"/>
        <v xml:space="preserve">   mOC!</v>
      </c>
      <c r="Y78" s="4" t="str">
        <f t="shared" ca="1" si="87"/>
        <v xml:space="preserve">   mOC!</v>
      </c>
      <c r="Z78" s="4" t="str">
        <f t="shared" ca="1" si="87"/>
        <v xml:space="preserve">   mOC!</v>
      </c>
      <c r="AA78" s="4" t="str">
        <f t="shared" ca="1" si="87"/>
        <v xml:space="preserve">   mOC!</v>
      </c>
      <c r="AB78" s="4" t="str">
        <f t="shared" ca="1" si="87"/>
        <v xml:space="preserve">   mOC!</v>
      </c>
      <c r="AC78" s="4" t="str">
        <f t="shared" ca="1" si="87"/>
        <v xml:space="preserve">   mOC!</v>
      </c>
    </row>
    <row r="79" spans="1:29" x14ac:dyDescent="0.25">
      <c r="A79" s="15"/>
      <c r="B79">
        <v>550</v>
      </c>
      <c r="C79" s="4" t="str">
        <f t="shared" ref="C79:N79" ca="1" si="88">_xlfn.IFS(((C50^2/($C$6*C$69/$F$67/1000)+$R$5+4*C25+((C$69*$C$5-C50)-((C$69*$C$5-C50)^2-4*C25*($H$4+2*($H$10+$H$11))/1000)^(1/2))^2/($H$4+2*($H$10+$H$11))*1000)/(C$69*$C$10*0.95)/$F$67)&gt;$C$11,"    batt!",OR((((C$69*$C$5-C50)-((C$69*$C$5-C50)^2-4*C25*($H$4+2*($H$10+$H$11))/1000)^(1/2))/2/($H$4+2*($H$10+$H$11))*1000)&gt;$H$7,C25/SQRT(SQRT(($H$5+$M$5+(C$69*$F$67*$C$7+$B79)/4)*9.8/1000/$M$8/1.225/($M$4/1000)^4)*60/$H$8*(C$69*$C$5-C50-((C$69*$C$5-C50)-((C$69*$C$5-C50)^2-4*C25*($H$4+2*($H$10+$H$11))/1000)^(1/2))/2))&gt;$H$7),"   mOC!",C25&gt;$H$6,"    mop!",OR(SQRT(($H$5+$M$5+(C$69*$F$67*$C$7+$B79)/4)*9.8/1000/$M$8/1.225/($M$4/1000)^4)*60/$H$8/(C$69*$C$5-C50-((C$69*$C$5-C50)-((C$69*$C$5-C50)^2-4*C25*($H$4+2*($H$10+$H$11))/1000)^(1/2))/2)&gt;($R$8*0.95/100),SQRT(($H$5+$M$5+(C$69*$F$67*$C$7+$B79)/4)*9.8/1000/$M$8/1.225/($M$4/1000)^4)*60/$H$8/(C$69*$C$5-C50-((C$69*$C$5-C50)-((C$69*$C$5-C50)^2-4*C25*($H$4+2*($H$10+$H$11))/1000)^(1/2))/2)&lt;($R$7*0.95/100)),"   mKV!",TRUE,(1-$C$12/100)*(1-$R$4/100)*C$69*$F$67*$C$4*$C$5*60/1000/(C50^2/($C$6*C$69/$F$67/1000)+$R$5+4*C25+((C$69*$C$5-C50)-((C$69*$C$5-C50)^2-4*C25*($H$4+2*($H$10+$H$11))/1000)^(1/2))^2/($H$4+2*($H$10+$H$11))*1000))</f>
        <v xml:space="preserve">    batt!</v>
      </c>
      <c r="D79" s="4" t="str">
        <f t="shared" ca="1" si="88"/>
        <v xml:space="preserve">    batt!</v>
      </c>
      <c r="E79" s="4" t="str">
        <f t="shared" ca="1" si="88"/>
        <v xml:space="preserve">    batt!</v>
      </c>
      <c r="F79" s="4">
        <f t="shared" ca="1" si="88"/>
        <v>40.766025333804748</v>
      </c>
      <c r="G79" s="4">
        <f t="shared" ca="1" si="88"/>
        <v>44.825258120160584</v>
      </c>
      <c r="H79" s="4">
        <f t="shared" ca="1" si="88"/>
        <v>47.694162333779069</v>
      </c>
      <c r="I79" s="4" t="str">
        <f t="shared" ca="1" si="88"/>
        <v xml:space="preserve">   mKV!</v>
      </c>
      <c r="J79" s="4" t="str">
        <f t="shared" ca="1" si="88"/>
        <v xml:space="preserve">   mKV!</v>
      </c>
      <c r="K79" s="4" t="str">
        <f t="shared" ca="1" si="88"/>
        <v xml:space="preserve">   mKV!</v>
      </c>
      <c r="L79" s="4" t="str">
        <f t="shared" ca="1" si="88"/>
        <v xml:space="preserve">   mKV!</v>
      </c>
      <c r="M79" s="4" t="str">
        <f t="shared" ca="1" si="88"/>
        <v xml:space="preserve">   mKV!</v>
      </c>
      <c r="N79" s="4" t="str">
        <f t="shared" ca="1" si="88"/>
        <v xml:space="preserve">   mKV!</v>
      </c>
      <c r="P79" s="13"/>
      <c r="Q79">
        <v>10</v>
      </c>
      <c r="R79" s="4" t="e">
        <f t="shared" ref="R79:AC79" ca="1" si="89">_xlfn.IFS(((R50^2/($C$6*R$69/$Q79/1000)+$R$5+4*R25+((R$69*$C$5-R50)-((R$69*$C$5-R50)^2-4*R25*($H$4+2*($H$10+$H$11))/1000)^(1/2))^2/($H$4+2*($H$10+$H$11))*1000)/(R$69*$C$10*0.95)/$Q79)&gt;$C$11,"    batt!",OR((((R$69*$C$5-R50)-((R$69*$C$5-R50)^2-4*R25*($H$4+2*($H$10+$H$11))/1000)^(1/2))/2/($H$4+2*($H$10+$H$11))*1000)&gt;$H$7,R25/SQRT(SQRT(($H$5+$M$5+(R$69*$Q79*$C$7+$U$67)/4)*9.8/1000/$M$8/1.225/($M$4/1000)^4)*60/$H$8*(R$69*$C$5-R50-((R$69*$C$5-R50)-((R$69*$C$5-R50)^2-4*R25*($H$4+2*($H$10+$H$11))/1000)^(1/2))/2))&gt;$H$7),"   mOC!",R25&gt;$H$6,"    mop!",OR(SQRT(($H$5+$M$5+(R$69*$Q79*$C$7+$U$67)/4)*9.8/1000/$M$8/1.225/($M$4/1000)^4)*60/$H$8/(R$69*$C$5-R50-((R$69*$C$5-R50)-((R$69*$C$5-R50)^2-4*R25*($H$4+2*($H$10+$H$11))/1000)^(1/2))/2)&gt;($R$8*0.95/100),SQRT(($H$5+$M$5+(R$69*$Q79*$C$7+$U$67)/4)*9.8/1000/$M$8/1.225/($M$4/1000)^4)*60/$H$8/(R$69*$C$5-R50-((R$69*$C$5-R50)-((R$69*$C$5-R50)^2-4*R25*($H$4+2*($H$10+$H$11))/1000)^(1/2))/2)&lt;($R$7*0.95/100)),"   mKV!",TRUE,(1-$C$12/100)*(1-$R$4/100)*R$69*$Q79*$C$4*$C$5*60/1000/(R50^2/($C$6*R$69/$Q79/1000)+$R$5+4*R25+((R$69*$C$5-R50)-((R$69*$C$5-R50)^2-4*R25*($H$4+2*($H$10+$H$11))/1000)^(1/2))^2/($H$4+2*($H$10+$H$11))*1000))</f>
        <v>#NUM!</v>
      </c>
      <c r="S79" s="4" t="str">
        <f t="shared" ca="1" si="89"/>
        <v xml:space="preserve">   mOC!</v>
      </c>
      <c r="T79" s="4" t="str">
        <f t="shared" ca="1" si="89"/>
        <v xml:space="preserve">   mOC!</v>
      </c>
      <c r="U79" s="4" t="str">
        <f t="shared" ca="1" si="89"/>
        <v xml:space="preserve">   mOC!</v>
      </c>
      <c r="V79" s="4" t="str">
        <f t="shared" ca="1" si="89"/>
        <v xml:space="preserve">   mOC!</v>
      </c>
      <c r="W79" s="4" t="str">
        <f t="shared" ca="1" si="89"/>
        <v xml:space="preserve">   mOC!</v>
      </c>
      <c r="X79" s="4" t="str">
        <f t="shared" ca="1" si="89"/>
        <v xml:space="preserve">   mOC!</v>
      </c>
      <c r="Y79" s="4" t="str">
        <f t="shared" ca="1" si="89"/>
        <v xml:space="preserve">   mOC!</v>
      </c>
      <c r="Z79" s="4" t="str">
        <f t="shared" ca="1" si="89"/>
        <v xml:space="preserve">   mOC!</v>
      </c>
      <c r="AA79" s="4" t="str">
        <f t="shared" ca="1" si="89"/>
        <v xml:space="preserve">   mOC!</v>
      </c>
      <c r="AB79" s="4" t="str">
        <f t="shared" ca="1" si="89"/>
        <v xml:space="preserve">   mOC!</v>
      </c>
      <c r="AC79" s="4" t="str">
        <f t="shared" ca="1" si="89"/>
        <v xml:space="preserve">    batt!</v>
      </c>
    </row>
    <row r="80" spans="1:29" x14ac:dyDescent="0.25">
      <c r="A80" s="15"/>
      <c r="B80">
        <v>600</v>
      </c>
      <c r="C80" s="4" t="str">
        <f t="shared" ref="C80:N80" ca="1" si="90">_xlfn.IFS(((C51^2/($C$6*C$69/$F$67/1000)+$R$5+4*C26+((C$69*$C$5-C51)-((C$69*$C$5-C51)^2-4*C26*($H$4+2*($H$10+$H$11))/1000)^(1/2))^2/($H$4+2*($H$10+$H$11))*1000)/(C$69*$C$10*0.95)/$F$67)&gt;$C$11,"    batt!",OR((((C$69*$C$5-C51)-((C$69*$C$5-C51)^2-4*C26*($H$4+2*($H$10+$H$11))/1000)^(1/2))/2/($H$4+2*($H$10+$H$11))*1000)&gt;$H$7,C26/SQRT(SQRT(($H$5+$M$5+(C$69*$F$67*$C$7+$B80)/4)*9.8/1000/$M$8/1.225/($M$4/1000)^4)*60/$H$8*(C$69*$C$5-C51-((C$69*$C$5-C51)-((C$69*$C$5-C51)^2-4*C26*($H$4+2*($H$10+$H$11))/1000)^(1/2))/2))&gt;$H$7),"   mOC!",C26&gt;$H$6,"    mop!",OR(SQRT(($H$5+$M$5+(C$69*$F$67*$C$7+$B80)/4)*9.8/1000/$M$8/1.225/($M$4/1000)^4)*60/$H$8/(C$69*$C$5-C51-((C$69*$C$5-C51)-((C$69*$C$5-C51)^2-4*C26*($H$4+2*($H$10+$H$11))/1000)^(1/2))/2)&gt;($R$8*0.95/100),SQRT(($H$5+$M$5+(C$69*$F$67*$C$7+$B80)/4)*9.8/1000/$M$8/1.225/($M$4/1000)^4)*60/$H$8/(C$69*$C$5-C51-((C$69*$C$5-C51)-((C$69*$C$5-C51)^2-4*C26*($H$4+2*($H$10+$H$11))/1000)^(1/2))/2)&lt;($R$7*0.95/100)),"   mKV!",TRUE,(1-$C$12/100)*(1-$R$4/100)*C$69*$F$67*$C$4*$C$5*60/1000/(C51^2/($C$6*C$69/$F$67/1000)+$R$5+4*C26+((C$69*$C$5-C51)-((C$69*$C$5-C51)^2-4*C26*($H$4+2*($H$10+$H$11))/1000)^(1/2))^2/($H$4+2*($H$10+$H$11))*1000))</f>
        <v xml:space="preserve">    batt!</v>
      </c>
      <c r="D80" s="4" t="str">
        <f t="shared" ca="1" si="90"/>
        <v xml:space="preserve">    batt!</v>
      </c>
      <c r="E80" s="4" t="str">
        <f t="shared" ca="1" si="90"/>
        <v xml:space="preserve">    batt!</v>
      </c>
      <c r="F80" s="4">
        <f t="shared" ca="1" si="90"/>
        <v>38.771931627358249</v>
      </c>
      <c r="G80" s="4">
        <f t="shared" ca="1" si="90"/>
        <v>42.804562373165879</v>
      </c>
      <c r="H80" s="4">
        <f t="shared" ca="1" si="90"/>
        <v>45.699253336074193</v>
      </c>
      <c r="I80" s="4" t="str">
        <f t="shared" ca="1" si="90"/>
        <v xml:space="preserve">   mKV!</v>
      </c>
      <c r="J80" s="4" t="str">
        <f t="shared" ca="1" si="90"/>
        <v xml:space="preserve">   mKV!</v>
      </c>
      <c r="K80" s="4" t="str">
        <f t="shared" ca="1" si="90"/>
        <v xml:space="preserve">   mKV!</v>
      </c>
      <c r="L80" s="4" t="str">
        <f t="shared" ca="1" si="90"/>
        <v xml:space="preserve">   mKV!</v>
      </c>
      <c r="M80" s="4" t="str">
        <f t="shared" ca="1" si="90"/>
        <v xml:space="preserve">   mKV!</v>
      </c>
      <c r="N80" s="4" t="str">
        <f t="shared" ca="1" si="90"/>
        <v xml:space="preserve">   mKV!</v>
      </c>
      <c r="P80" s="13"/>
      <c r="Q80">
        <v>11</v>
      </c>
      <c r="R80" s="4" t="e">
        <f t="shared" ref="R80:AC80" ca="1" si="91">_xlfn.IFS(((R51^2/($C$6*R$69/$Q80/1000)+$R$5+4*R26+((R$69*$C$5-R51)-((R$69*$C$5-R51)^2-4*R26*($H$4+2*($H$10+$H$11))/1000)^(1/2))^2/($H$4+2*($H$10+$H$11))*1000)/(R$69*$C$10*0.95)/$Q80)&gt;$C$11,"    batt!",OR((((R$69*$C$5-R51)-((R$69*$C$5-R51)^2-4*R26*($H$4+2*($H$10+$H$11))/1000)^(1/2))/2/($H$4+2*($H$10+$H$11))*1000)&gt;$H$7,R26/SQRT(SQRT(($H$5+$M$5+(R$69*$Q80*$C$7+$U$67)/4)*9.8/1000/$M$8/1.225/($M$4/1000)^4)*60/$H$8*(R$69*$C$5-R51-((R$69*$C$5-R51)-((R$69*$C$5-R51)^2-4*R26*($H$4+2*($H$10+$H$11))/1000)^(1/2))/2))&gt;$H$7),"   mOC!",R26&gt;$H$6,"    mop!",OR(SQRT(($H$5+$M$5+(R$69*$Q80*$C$7+$U$67)/4)*9.8/1000/$M$8/1.225/($M$4/1000)^4)*60/$H$8/(R$69*$C$5-R51-((R$69*$C$5-R51)-((R$69*$C$5-R51)^2-4*R26*($H$4+2*($H$10+$H$11))/1000)^(1/2))/2)&gt;($R$8*0.95/100),SQRT(($H$5+$M$5+(R$69*$Q80*$C$7+$U$67)/4)*9.8/1000/$M$8/1.225/($M$4/1000)^4)*60/$H$8/(R$69*$C$5-R51-((R$69*$C$5-R51)-((R$69*$C$5-R51)^2-4*R26*($H$4+2*($H$10+$H$11))/1000)^(1/2))/2)&lt;($R$7*0.95/100)),"   mKV!",TRUE,(1-$C$12/100)*(1-$R$4/100)*R$69*$Q80*$C$4*$C$5*60/1000/(R51^2/($C$6*R$69/$Q80/1000)+$R$5+4*R26+((R$69*$C$5-R51)-((R$69*$C$5-R51)^2-4*R26*($H$4+2*($H$10+$H$11))/1000)^(1/2))^2/($H$4+2*($H$10+$H$11))*1000))</f>
        <v>#NUM!</v>
      </c>
      <c r="S80" s="4" t="str">
        <f t="shared" ca="1" si="91"/>
        <v xml:space="preserve">   mOC!</v>
      </c>
      <c r="T80" s="4" t="str">
        <f t="shared" ca="1" si="91"/>
        <v xml:space="preserve">   mOC!</v>
      </c>
      <c r="U80" s="4" t="str">
        <f t="shared" ca="1" si="91"/>
        <v xml:space="preserve">   mOC!</v>
      </c>
      <c r="V80" s="4" t="str">
        <f t="shared" ca="1" si="91"/>
        <v xml:space="preserve">   mOC!</v>
      </c>
      <c r="W80" s="4" t="str">
        <f t="shared" ca="1" si="91"/>
        <v xml:space="preserve">   mOC!</v>
      </c>
      <c r="X80" s="4" t="str">
        <f t="shared" ca="1" si="91"/>
        <v xml:space="preserve">   mOC!</v>
      </c>
      <c r="Y80" s="4" t="str">
        <f t="shared" ca="1" si="91"/>
        <v xml:space="preserve">   mOC!</v>
      </c>
      <c r="Z80" s="4" t="str">
        <f t="shared" ca="1" si="91"/>
        <v xml:space="preserve">   mOC!</v>
      </c>
      <c r="AA80" s="4" t="str">
        <f t="shared" ca="1" si="91"/>
        <v xml:space="preserve">    batt!</v>
      </c>
      <c r="AB80" s="4" t="str">
        <f t="shared" ca="1" si="91"/>
        <v xml:space="preserve">    batt!</v>
      </c>
      <c r="AC80" s="4" t="str">
        <f t="shared" ca="1" si="91"/>
        <v xml:space="preserve">    batt!</v>
      </c>
    </row>
    <row r="81" spans="1:29" x14ac:dyDescent="0.25">
      <c r="A81" s="15"/>
      <c r="B81">
        <v>650</v>
      </c>
      <c r="C81" s="4" t="str">
        <f t="shared" ref="C81:N81" ca="1" si="92">_xlfn.IFS(((C52^2/($C$6*C$69/$F$67/1000)+$R$5+4*C27+((C$69*$C$5-C52)-((C$69*$C$5-C52)^2-4*C27*($H$4+2*($H$10+$H$11))/1000)^(1/2))^2/($H$4+2*($H$10+$H$11))*1000)/(C$69*$C$10*0.95)/$F$67)&gt;$C$11,"    batt!",OR((((C$69*$C$5-C52)-((C$69*$C$5-C52)^2-4*C27*($H$4+2*($H$10+$H$11))/1000)^(1/2))/2/($H$4+2*($H$10+$H$11))*1000)&gt;$H$7,C27/SQRT(SQRT(($H$5+$M$5+(C$69*$F$67*$C$7+$B81)/4)*9.8/1000/$M$8/1.225/($M$4/1000)^4)*60/$H$8*(C$69*$C$5-C52-((C$69*$C$5-C52)-((C$69*$C$5-C52)^2-4*C27*($H$4+2*($H$10+$H$11))/1000)^(1/2))/2))&gt;$H$7),"   mOC!",C27&gt;$H$6,"    mop!",OR(SQRT(($H$5+$M$5+(C$69*$F$67*$C$7+$B81)/4)*9.8/1000/$M$8/1.225/($M$4/1000)^4)*60/$H$8/(C$69*$C$5-C52-((C$69*$C$5-C52)-((C$69*$C$5-C52)^2-4*C27*($H$4+2*($H$10+$H$11))/1000)^(1/2))/2)&gt;($R$8*0.95/100),SQRT(($H$5+$M$5+(C$69*$F$67*$C$7+$B81)/4)*9.8/1000/$M$8/1.225/($M$4/1000)^4)*60/$H$8/(C$69*$C$5-C52-((C$69*$C$5-C52)-((C$69*$C$5-C52)^2-4*C27*($H$4+2*($H$10+$H$11))/1000)^(1/2))/2)&lt;($R$7*0.95/100)),"   mKV!",TRUE,(1-$C$12/100)*(1-$R$4/100)*C$69*$F$67*$C$4*$C$5*60/1000/(C52^2/($C$6*C$69/$F$67/1000)+$R$5+4*C27+((C$69*$C$5-C52)-((C$69*$C$5-C52)^2-4*C27*($H$4+2*($H$10+$H$11))/1000)^(1/2))^2/($H$4+2*($H$10+$H$11))*1000))</f>
        <v xml:space="preserve">    batt!</v>
      </c>
      <c r="D81" s="4" t="str">
        <f t="shared" ca="1" si="92"/>
        <v xml:space="preserve">    batt!</v>
      </c>
      <c r="E81" s="4" t="str">
        <f t="shared" ca="1" si="92"/>
        <v xml:space="preserve">    batt!</v>
      </c>
      <c r="F81" s="4" t="str">
        <f t="shared" ca="1" si="92"/>
        <v xml:space="preserve">   mKV!</v>
      </c>
      <c r="G81" s="4">
        <f t="shared" ca="1" si="92"/>
        <v>40.921413478657662</v>
      </c>
      <c r="H81" s="4">
        <f t="shared" ca="1" si="92"/>
        <v>43.83187366176724</v>
      </c>
      <c r="I81" s="4" t="str">
        <f t="shared" ca="1" si="92"/>
        <v xml:space="preserve">   mKV!</v>
      </c>
      <c r="J81" s="4" t="str">
        <f t="shared" ca="1" si="92"/>
        <v xml:space="preserve">   mKV!</v>
      </c>
      <c r="K81" s="4" t="str">
        <f t="shared" ca="1" si="92"/>
        <v xml:space="preserve">   mKV!</v>
      </c>
      <c r="L81" s="4" t="str">
        <f t="shared" ca="1" si="92"/>
        <v xml:space="preserve">   mKV!</v>
      </c>
      <c r="M81" s="4" t="str">
        <f t="shared" ca="1" si="92"/>
        <v xml:space="preserve">   mKV!</v>
      </c>
      <c r="N81" s="4" t="str">
        <f t="shared" ca="1" si="92"/>
        <v xml:space="preserve">   mKV!</v>
      </c>
      <c r="P81" s="13"/>
      <c r="Q81">
        <v>12</v>
      </c>
      <c r="R81" s="4" t="e">
        <f t="shared" ref="R81:AC81" ca="1" si="93">_xlfn.IFS(((R52^2/($C$6*R$69/$Q81/1000)+$R$5+4*R27+((R$69*$C$5-R52)-((R$69*$C$5-R52)^2-4*R27*($H$4+2*($H$10+$H$11))/1000)^(1/2))^2/($H$4+2*($H$10+$H$11))*1000)/(R$69*$C$10*0.95)/$Q81)&gt;$C$11,"    batt!",OR((((R$69*$C$5-R52)-((R$69*$C$5-R52)^2-4*R27*($H$4+2*($H$10+$H$11))/1000)^(1/2))/2/($H$4+2*($H$10+$H$11))*1000)&gt;$H$7,R27/SQRT(SQRT(($H$5+$M$5+(R$69*$Q81*$C$7+$U$67)/4)*9.8/1000/$M$8/1.225/($M$4/1000)^4)*60/$H$8*(R$69*$C$5-R52-((R$69*$C$5-R52)-((R$69*$C$5-R52)^2-4*R27*($H$4+2*($H$10+$H$11))/1000)^(1/2))/2))&gt;$H$7),"   mOC!",R27&gt;$H$6,"    mop!",OR(SQRT(($H$5+$M$5+(R$69*$Q81*$C$7+$U$67)/4)*9.8/1000/$M$8/1.225/($M$4/1000)^4)*60/$H$8/(R$69*$C$5-R52-((R$69*$C$5-R52)-((R$69*$C$5-R52)^2-4*R27*($H$4+2*($H$10+$H$11))/1000)^(1/2))/2)&gt;($R$8*0.95/100),SQRT(($H$5+$M$5+(R$69*$Q81*$C$7+$U$67)/4)*9.8/1000/$M$8/1.225/($M$4/1000)^4)*60/$H$8/(R$69*$C$5-R52-((R$69*$C$5-R52)-((R$69*$C$5-R52)^2-4*R27*($H$4+2*($H$10+$H$11))/1000)^(1/2))/2)&lt;($R$7*0.95/100)),"   mKV!",TRUE,(1-$C$12/100)*(1-$R$4/100)*R$69*$Q81*$C$4*$C$5*60/1000/(R52^2/($C$6*R$69/$Q81/1000)+$R$5+4*R27+((R$69*$C$5-R52)-((R$69*$C$5-R52)^2-4*R27*($H$4+2*($H$10+$H$11))/1000)^(1/2))^2/($H$4+2*($H$10+$H$11))*1000))</f>
        <v>#NUM!</v>
      </c>
      <c r="S81" s="4" t="str">
        <f t="shared" ca="1" si="93"/>
        <v xml:space="preserve">   mOC!</v>
      </c>
      <c r="T81" s="4" t="str">
        <f t="shared" ca="1" si="93"/>
        <v xml:space="preserve">   mOC!</v>
      </c>
      <c r="U81" s="4" t="str">
        <f t="shared" ca="1" si="93"/>
        <v xml:space="preserve">   mOC!</v>
      </c>
      <c r="V81" s="4" t="str">
        <f t="shared" ca="1" si="93"/>
        <v xml:space="preserve">   mOC!</v>
      </c>
      <c r="W81" s="4" t="str">
        <f t="shared" ca="1" si="93"/>
        <v xml:space="preserve">   mOC!</v>
      </c>
      <c r="X81" s="4" t="str">
        <f t="shared" ca="1" si="93"/>
        <v xml:space="preserve">   mOC!</v>
      </c>
      <c r="Y81" s="4" t="str">
        <f t="shared" ca="1" si="93"/>
        <v xml:space="preserve">   mOC!</v>
      </c>
      <c r="Z81" s="4" t="str">
        <f t="shared" ca="1" si="93"/>
        <v xml:space="preserve">    batt!</v>
      </c>
      <c r="AA81" s="4" t="str">
        <f t="shared" ca="1" si="93"/>
        <v xml:space="preserve">    batt!</v>
      </c>
      <c r="AB81" s="4" t="str">
        <f t="shared" ca="1" si="93"/>
        <v xml:space="preserve">    batt!</v>
      </c>
      <c r="AC81" s="4" t="str">
        <f t="shared" ca="1" si="93"/>
        <v xml:space="preserve">    batt!</v>
      </c>
    </row>
    <row r="82" spans="1:29" x14ac:dyDescent="0.25">
      <c r="A82" s="15"/>
      <c r="B82">
        <v>700</v>
      </c>
      <c r="C82" s="4" t="str">
        <f t="shared" ref="C82:N82" ca="1" si="94">_xlfn.IFS(((C53^2/($C$6*C$69/$F$67/1000)+$R$5+4*C28+((C$69*$C$5-C53)-((C$69*$C$5-C53)^2-4*C28*($H$4+2*($H$10+$H$11))/1000)^(1/2))^2/($H$4+2*($H$10+$H$11))*1000)/(C$69*$C$10*0.95)/$F$67)&gt;$C$11,"    batt!",OR((((C$69*$C$5-C53)-((C$69*$C$5-C53)^2-4*C28*($H$4+2*($H$10+$H$11))/1000)^(1/2))/2/($H$4+2*($H$10+$H$11))*1000)&gt;$H$7,C28/SQRT(SQRT(($H$5+$M$5+(C$69*$F$67*$C$7+$B82)/4)*9.8/1000/$M$8/1.225/($M$4/1000)^4)*60/$H$8*(C$69*$C$5-C53-((C$69*$C$5-C53)-((C$69*$C$5-C53)^2-4*C28*($H$4+2*($H$10+$H$11))/1000)^(1/2))/2))&gt;$H$7),"   mOC!",C28&gt;$H$6,"    mop!",OR(SQRT(($H$5+$M$5+(C$69*$F$67*$C$7+$B82)/4)*9.8/1000/$M$8/1.225/($M$4/1000)^4)*60/$H$8/(C$69*$C$5-C53-((C$69*$C$5-C53)-((C$69*$C$5-C53)^2-4*C28*($H$4+2*($H$10+$H$11))/1000)^(1/2))/2)&gt;($R$8*0.95/100),SQRT(($H$5+$M$5+(C$69*$F$67*$C$7+$B82)/4)*9.8/1000/$M$8/1.225/($M$4/1000)^4)*60/$H$8/(C$69*$C$5-C53-((C$69*$C$5-C53)-((C$69*$C$5-C53)^2-4*C28*($H$4+2*($H$10+$H$11))/1000)^(1/2))/2)&lt;($R$7*0.95/100)),"   mKV!",TRUE,(1-$C$12/100)*(1-$R$4/100)*C$69*$F$67*$C$4*$C$5*60/1000/(C53^2/($C$6*C$69/$F$67/1000)+$R$5+4*C28+((C$69*$C$5-C53)-((C$69*$C$5-C53)^2-4*C28*($H$4+2*($H$10+$H$11))/1000)^(1/2))^2/($H$4+2*($H$10+$H$11))*1000))</f>
        <v xml:space="preserve">    batt!</v>
      </c>
      <c r="D82" s="4" t="str">
        <f t="shared" ca="1" si="94"/>
        <v xml:space="preserve">    batt!</v>
      </c>
      <c r="E82" s="4" t="str">
        <f t="shared" ca="1" si="94"/>
        <v xml:space="preserve">    batt!</v>
      </c>
      <c r="F82" s="4" t="str">
        <f t="shared" ca="1" si="94"/>
        <v xml:space="preserve">    batt!</v>
      </c>
      <c r="G82" s="4">
        <f t="shared" ca="1" si="94"/>
        <v>39.163541790303924</v>
      </c>
      <c r="H82" s="4">
        <f t="shared" ca="1" si="94"/>
        <v>42.081261066446118</v>
      </c>
      <c r="I82" s="4" t="str">
        <f t="shared" ca="1" si="94"/>
        <v xml:space="preserve">   mKV!</v>
      </c>
      <c r="J82" s="4" t="str">
        <f t="shared" ca="1" si="94"/>
        <v xml:space="preserve">   mKV!</v>
      </c>
      <c r="K82" s="4" t="str">
        <f t="shared" ca="1" si="94"/>
        <v xml:space="preserve">   mKV!</v>
      </c>
      <c r="L82" s="4" t="str">
        <f t="shared" ca="1" si="94"/>
        <v xml:space="preserve">   mKV!</v>
      </c>
      <c r="M82" s="4" t="str">
        <f t="shared" ca="1" si="94"/>
        <v xml:space="preserve">   mKV!</v>
      </c>
      <c r="N82" s="4" t="str">
        <f t="shared" ca="1" si="94"/>
        <v xml:space="preserve">   mKV!</v>
      </c>
    </row>
    <row r="83" spans="1:29" x14ac:dyDescent="0.25">
      <c r="A83" s="15"/>
      <c r="B83">
        <v>750</v>
      </c>
      <c r="C83" s="4" t="str">
        <f t="shared" ref="C83:N83" ca="1" si="95">_xlfn.IFS(((C54^2/($C$6*C$69/$F$67/1000)+$R$5+4*C29+((C$69*$C$5-C54)-((C$69*$C$5-C54)^2-4*C29*($H$4+2*($H$10+$H$11))/1000)^(1/2))^2/($H$4+2*($H$10+$H$11))*1000)/(C$69*$C$10*0.95)/$F$67)&gt;$C$11,"    batt!",OR((((C$69*$C$5-C54)-((C$69*$C$5-C54)^2-4*C29*($H$4+2*($H$10+$H$11))/1000)^(1/2))/2/($H$4+2*($H$10+$H$11))*1000)&gt;$H$7,C29/SQRT(SQRT(($H$5+$M$5+(C$69*$F$67*$C$7+$B83)/4)*9.8/1000/$M$8/1.225/($M$4/1000)^4)*60/$H$8*(C$69*$C$5-C54-((C$69*$C$5-C54)-((C$69*$C$5-C54)^2-4*C29*($H$4+2*($H$10+$H$11))/1000)^(1/2))/2))&gt;$H$7),"   mOC!",C29&gt;$H$6,"    mop!",OR(SQRT(($H$5+$M$5+(C$69*$F$67*$C$7+$B83)/4)*9.8/1000/$M$8/1.225/($M$4/1000)^4)*60/$H$8/(C$69*$C$5-C54-((C$69*$C$5-C54)-((C$69*$C$5-C54)^2-4*C29*($H$4+2*($H$10+$H$11))/1000)^(1/2))/2)&gt;($R$8*0.95/100),SQRT(($H$5+$M$5+(C$69*$F$67*$C$7+$B83)/4)*9.8/1000/$M$8/1.225/($M$4/1000)^4)*60/$H$8/(C$69*$C$5-C54-((C$69*$C$5-C54)-((C$69*$C$5-C54)^2-4*C29*($H$4+2*($H$10+$H$11))/1000)^(1/2))/2)&lt;($R$7*0.95/100)),"   mKV!",TRUE,(1-$C$12/100)*(1-$R$4/100)*C$69*$F$67*$C$4*$C$5*60/1000/(C54^2/($C$6*C$69/$F$67/1000)+$R$5+4*C29+((C$69*$C$5-C54)-((C$69*$C$5-C54)^2-4*C29*($H$4+2*($H$10+$H$11))/1000)^(1/2))^2/($H$4+2*($H$10+$H$11))*1000))</f>
        <v xml:space="preserve">    batt!</v>
      </c>
      <c r="D83" s="4" t="str">
        <f t="shared" ca="1" si="95"/>
        <v xml:space="preserve">    batt!</v>
      </c>
      <c r="E83" s="4" t="str">
        <f t="shared" ca="1" si="95"/>
        <v xml:space="preserve">    batt!</v>
      </c>
      <c r="F83" s="4" t="str">
        <f t="shared" ca="1" si="95"/>
        <v xml:space="preserve">    batt!</v>
      </c>
      <c r="G83" s="4">
        <f t="shared" ca="1" si="95"/>
        <v>37.519991869757526</v>
      </c>
      <c r="H83" s="4">
        <f t="shared" ca="1" si="95"/>
        <v>40.437753665908573</v>
      </c>
      <c r="I83" s="4">
        <f t="shared" ca="1" si="95"/>
        <v>42.618604167365774</v>
      </c>
      <c r="J83" s="4" t="str">
        <f t="shared" ca="1" si="95"/>
        <v xml:space="preserve">   mKV!</v>
      </c>
      <c r="K83" s="4" t="str">
        <f t="shared" ca="1" si="95"/>
        <v xml:space="preserve">   mKV!</v>
      </c>
      <c r="L83" s="4" t="str">
        <f t="shared" ca="1" si="95"/>
        <v xml:space="preserve">   mKV!</v>
      </c>
      <c r="M83" s="4" t="str">
        <f t="shared" ca="1" si="95"/>
        <v xml:space="preserve">   mKV!</v>
      </c>
      <c r="N83" s="4" t="str">
        <f t="shared" ca="1" si="95"/>
        <v xml:space="preserve">   mKV!</v>
      </c>
    </row>
    <row r="84" spans="1:29" x14ac:dyDescent="0.25">
      <c r="A84" s="15"/>
      <c r="B84">
        <v>800</v>
      </c>
      <c r="C84" s="4" t="str">
        <f t="shared" ref="C84:N84" ca="1" si="96">_xlfn.IFS(((C55^2/($C$6*C$69/$F$67/1000)+$R$5+4*C30+((C$69*$C$5-C55)-((C$69*$C$5-C55)^2-4*C30*($H$4+2*($H$10+$H$11))/1000)^(1/2))^2/($H$4+2*($H$10+$H$11))*1000)/(C$69*$C$10*0.95)/$F$67)&gt;$C$11,"    batt!",OR((((C$69*$C$5-C55)-((C$69*$C$5-C55)^2-4*C30*($H$4+2*($H$10+$H$11))/1000)^(1/2))/2/($H$4+2*($H$10+$H$11))*1000)&gt;$H$7,C30/SQRT(SQRT(($H$5+$M$5+(C$69*$F$67*$C$7+$B84)/4)*9.8/1000/$M$8/1.225/($M$4/1000)^4)*60/$H$8*(C$69*$C$5-C55-((C$69*$C$5-C55)-((C$69*$C$5-C55)^2-4*C30*($H$4+2*($H$10+$H$11))/1000)^(1/2))/2))&gt;$H$7),"   mOC!",C30&gt;$H$6,"    mop!",OR(SQRT(($H$5+$M$5+(C$69*$F$67*$C$7+$B84)/4)*9.8/1000/$M$8/1.225/($M$4/1000)^4)*60/$H$8/(C$69*$C$5-C55-((C$69*$C$5-C55)-((C$69*$C$5-C55)^2-4*C30*($H$4+2*($H$10+$H$11))/1000)^(1/2))/2)&gt;($R$8*0.95/100),SQRT(($H$5+$M$5+(C$69*$F$67*$C$7+$B84)/4)*9.8/1000/$M$8/1.225/($M$4/1000)^4)*60/$H$8/(C$69*$C$5-C55-((C$69*$C$5-C55)-((C$69*$C$5-C55)^2-4*C30*($H$4+2*($H$10+$H$11))/1000)^(1/2))/2)&lt;($R$7*0.95/100)),"   mKV!",TRUE,(1-$C$12/100)*(1-$R$4/100)*C$69*$F$67*$C$4*$C$5*60/1000/(C55^2/($C$6*C$69/$F$67/1000)+$R$5+4*C30+((C$69*$C$5-C55)-((C$69*$C$5-C55)^2-4*C30*($H$4+2*($H$10+$H$11))/1000)^(1/2))^2/($H$4+2*($H$10+$H$11))*1000))</f>
        <v xml:space="preserve">    batt!</v>
      </c>
      <c r="D84" s="4" t="str">
        <f t="shared" ca="1" si="96"/>
        <v xml:space="preserve">    batt!</v>
      </c>
      <c r="E84" s="4" t="str">
        <f t="shared" ca="1" si="96"/>
        <v xml:space="preserve">    batt!</v>
      </c>
      <c r="F84" s="4" t="str">
        <f t="shared" ca="1" si="96"/>
        <v xml:space="preserve">    batt!</v>
      </c>
      <c r="G84" s="4" t="str">
        <f t="shared" ca="1" si="96"/>
        <v xml:space="preserve">    batt!</v>
      </c>
      <c r="H84" s="4">
        <f t="shared" ca="1" si="96"/>
        <v>38.892660666533715</v>
      </c>
      <c r="I84" s="4">
        <f t="shared" ca="1" si="96"/>
        <v>41.093604522429175</v>
      </c>
      <c r="J84" s="4" t="str">
        <f t="shared" ca="1" si="96"/>
        <v xml:space="preserve">   mKV!</v>
      </c>
      <c r="K84" s="4" t="str">
        <f t="shared" ca="1" si="96"/>
        <v xml:space="preserve">   mKV!</v>
      </c>
      <c r="L84" s="4" t="str">
        <f t="shared" ca="1" si="96"/>
        <v xml:space="preserve">   mKV!</v>
      </c>
      <c r="M84" s="4" t="str">
        <f t="shared" ca="1" si="96"/>
        <v xml:space="preserve">   mKV!</v>
      </c>
      <c r="N84" s="4" t="str">
        <f t="shared" ca="1" si="96"/>
        <v xml:space="preserve">   mKV!</v>
      </c>
    </row>
    <row r="85" spans="1:29" x14ac:dyDescent="0.25">
      <c r="A85" s="15"/>
      <c r="B85">
        <v>850</v>
      </c>
      <c r="C85" s="4" t="e">
        <f t="shared" ref="C85:N85" ca="1" si="97">_xlfn.IFS(((C56^2/($C$6*C$69/$F$67/1000)+$R$5+4*C31+((C$69*$C$5-C56)-((C$69*$C$5-C56)^2-4*C31*($H$4+2*($H$10+$H$11))/1000)^(1/2))^2/($H$4+2*($H$10+$H$11))*1000)/(C$69*$C$10*0.95)/$F$67)&gt;$C$11,"    batt!",OR((((C$69*$C$5-C56)-((C$69*$C$5-C56)^2-4*C31*($H$4+2*($H$10+$H$11))/1000)^(1/2))/2/($H$4+2*($H$10+$H$11))*1000)&gt;$H$7,C31/SQRT(SQRT(($H$5+$M$5+(C$69*$F$67*$C$7+$B85)/4)*9.8/1000/$M$8/1.225/($M$4/1000)^4)*60/$H$8*(C$69*$C$5-C56-((C$69*$C$5-C56)-((C$69*$C$5-C56)^2-4*C31*($H$4+2*($H$10+$H$11))/1000)^(1/2))/2))&gt;$H$7),"   mOC!",C31&gt;$H$6,"    mop!",OR(SQRT(($H$5+$M$5+(C$69*$F$67*$C$7+$B85)/4)*9.8/1000/$M$8/1.225/($M$4/1000)^4)*60/$H$8/(C$69*$C$5-C56-((C$69*$C$5-C56)-((C$69*$C$5-C56)^2-4*C31*($H$4+2*($H$10+$H$11))/1000)^(1/2))/2)&gt;($R$8*0.95/100),SQRT(($H$5+$M$5+(C$69*$F$67*$C$7+$B85)/4)*9.8/1000/$M$8/1.225/($M$4/1000)^4)*60/$H$8/(C$69*$C$5-C56-((C$69*$C$5-C56)-((C$69*$C$5-C56)^2-4*C31*($H$4+2*($H$10+$H$11))/1000)^(1/2))/2)&lt;($R$7*0.95/100)),"   mKV!",TRUE,(1-$C$12/100)*(1-$R$4/100)*C$69*$F$67*$C$4*$C$5*60/1000/(C56^2/($C$6*C$69/$F$67/1000)+$R$5+4*C31+((C$69*$C$5-C56)-((C$69*$C$5-C56)^2-4*C31*($H$4+2*($H$10+$H$11))/1000)^(1/2))^2/($H$4+2*($H$10+$H$11))*1000))</f>
        <v>#NUM!</v>
      </c>
      <c r="D85" s="4" t="str">
        <f t="shared" ca="1" si="97"/>
        <v xml:space="preserve">    batt!</v>
      </c>
      <c r="E85" s="4" t="str">
        <f t="shared" ca="1" si="97"/>
        <v xml:space="preserve">    batt!</v>
      </c>
      <c r="F85" s="4" t="str">
        <f t="shared" ca="1" si="97"/>
        <v xml:space="preserve">    batt!</v>
      </c>
      <c r="G85" s="4" t="str">
        <f t="shared" ca="1" si="97"/>
        <v xml:space="preserve">    batt!</v>
      </c>
      <c r="H85" s="4">
        <f t="shared" ca="1" si="97"/>
        <v>37.438149859238443</v>
      </c>
      <c r="I85" s="4">
        <f t="shared" ca="1" si="97"/>
        <v>39.653047553973551</v>
      </c>
      <c r="J85" s="4" t="str">
        <f t="shared" ca="1" si="97"/>
        <v xml:space="preserve">   mKV!</v>
      </c>
      <c r="K85" s="4" t="str">
        <f t="shared" ca="1" si="97"/>
        <v xml:space="preserve">   mKV!</v>
      </c>
      <c r="L85" s="4" t="str">
        <f t="shared" ca="1" si="97"/>
        <v xml:space="preserve">   mKV!</v>
      </c>
      <c r="M85" s="4" t="str">
        <f t="shared" ca="1" si="97"/>
        <v xml:space="preserve">   mKV!</v>
      </c>
      <c r="N85" s="4" t="str">
        <f t="shared" ca="1" si="97"/>
        <v xml:space="preserve">   mKV!</v>
      </c>
    </row>
    <row r="86" spans="1:29" x14ac:dyDescent="0.25">
      <c r="A86" s="15"/>
      <c r="B86">
        <v>900</v>
      </c>
      <c r="C86" s="4" t="e">
        <f t="shared" ref="C86:N86" ca="1" si="98">_xlfn.IFS(((C57^2/($C$6*C$69/$F$67/1000)+$R$5+4*C32+((C$69*$C$5-C57)-((C$69*$C$5-C57)^2-4*C32*($H$4+2*($H$10+$H$11))/1000)^(1/2))^2/($H$4+2*($H$10+$H$11))*1000)/(C$69*$C$10*0.95)/$F$67)&gt;$C$11,"    batt!",OR((((C$69*$C$5-C57)-((C$69*$C$5-C57)^2-4*C32*($H$4+2*($H$10+$H$11))/1000)^(1/2))/2/($H$4+2*($H$10+$H$11))*1000)&gt;$H$7,C32/SQRT(SQRT(($H$5+$M$5+(C$69*$F$67*$C$7+$B86)/4)*9.8/1000/$M$8/1.225/($M$4/1000)^4)*60/$H$8*(C$69*$C$5-C57-((C$69*$C$5-C57)-((C$69*$C$5-C57)^2-4*C32*($H$4+2*($H$10+$H$11))/1000)^(1/2))/2))&gt;$H$7),"   mOC!",C32&gt;$H$6,"    mop!",OR(SQRT(($H$5+$M$5+(C$69*$F$67*$C$7+$B86)/4)*9.8/1000/$M$8/1.225/($M$4/1000)^4)*60/$H$8/(C$69*$C$5-C57-((C$69*$C$5-C57)-((C$69*$C$5-C57)^2-4*C32*($H$4+2*($H$10+$H$11))/1000)^(1/2))/2)&gt;($R$8*0.95/100),SQRT(($H$5+$M$5+(C$69*$F$67*$C$7+$B86)/4)*9.8/1000/$M$8/1.225/($M$4/1000)^4)*60/$H$8/(C$69*$C$5-C57-((C$69*$C$5-C57)-((C$69*$C$5-C57)^2-4*C32*($H$4+2*($H$10+$H$11))/1000)^(1/2))/2)&lt;($R$7*0.95/100)),"   mKV!",TRUE,(1-$C$12/100)*(1-$R$4/100)*C$69*$F$67*$C$4*$C$5*60/1000/(C57^2/($C$6*C$69/$F$67/1000)+$R$5+4*C32+((C$69*$C$5-C57)-((C$69*$C$5-C57)^2-4*C32*($H$4+2*($H$10+$H$11))/1000)^(1/2))^2/($H$4+2*($H$10+$H$11))*1000))</f>
        <v>#NUM!</v>
      </c>
      <c r="D86" s="4" t="str">
        <f t="shared" ca="1" si="98"/>
        <v xml:space="preserve">    batt!</v>
      </c>
      <c r="E86" s="4" t="str">
        <f t="shared" ca="1" si="98"/>
        <v xml:space="preserve">    batt!</v>
      </c>
      <c r="F86" s="4" t="str">
        <f t="shared" ca="1" si="98"/>
        <v xml:space="preserve">    batt!</v>
      </c>
      <c r="G86" s="4" t="str">
        <f t="shared" ca="1" si="98"/>
        <v xml:space="preserve">    batt!</v>
      </c>
      <c r="H86" s="4" t="str">
        <f t="shared" ca="1" si="98"/>
        <v xml:space="preserve">    batt!</v>
      </c>
      <c r="I86" s="4">
        <f t="shared" ca="1" si="98"/>
        <v>38.290679918099542</v>
      </c>
      <c r="J86" s="4" t="str">
        <f t="shared" ca="1" si="98"/>
        <v xml:space="preserve">   mKV!</v>
      </c>
      <c r="K86" s="4" t="str">
        <f t="shared" ca="1" si="98"/>
        <v xml:space="preserve">   mKV!</v>
      </c>
      <c r="L86" s="4" t="str">
        <f t="shared" ca="1" si="98"/>
        <v xml:space="preserve">   mKV!</v>
      </c>
      <c r="M86" s="4" t="str">
        <f t="shared" ca="1" si="98"/>
        <v xml:space="preserve">   mKV!</v>
      </c>
      <c r="N86" s="4" t="str">
        <f t="shared" ca="1" si="98"/>
        <v xml:space="preserve">   mKV!</v>
      </c>
    </row>
    <row r="87" spans="1:29" x14ac:dyDescent="0.25">
      <c r="A87" s="15"/>
      <c r="B87">
        <v>950</v>
      </c>
      <c r="C87" s="4" t="e">
        <f t="shared" ref="C87:N87" ca="1" si="99">_xlfn.IFS(((C58^2/($C$6*C$69/$F$67/1000)+$R$5+4*C33+((C$69*$C$5-C58)-((C$69*$C$5-C58)^2-4*C33*($H$4+2*($H$10+$H$11))/1000)^(1/2))^2/($H$4+2*($H$10+$H$11))*1000)/(C$69*$C$10*0.95)/$F$67)&gt;$C$11,"    batt!",OR((((C$69*$C$5-C58)-((C$69*$C$5-C58)^2-4*C33*($H$4+2*($H$10+$H$11))/1000)^(1/2))/2/($H$4+2*($H$10+$H$11))*1000)&gt;$H$7,C33/SQRT(SQRT(($H$5+$M$5+(C$69*$F$67*$C$7+$B87)/4)*9.8/1000/$M$8/1.225/($M$4/1000)^4)*60/$H$8*(C$69*$C$5-C58-((C$69*$C$5-C58)-((C$69*$C$5-C58)^2-4*C33*($H$4+2*($H$10+$H$11))/1000)^(1/2))/2))&gt;$H$7),"   mOC!",C33&gt;$H$6,"    mop!",OR(SQRT(($H$5+$M$5+(C$69*$F$67*$C$7+$B87)/4)*9.8/1000/$M$8/1.225/($M$4/1000)^4)*60/$H$8/(C$69*$C$5-C58-((C$69*$C$5-C58)-((C$69*$C$5-C58)^2-4*C33*($H$4+2*($H$10+$H$11))/1000)^(1/2))/2)&gt;($R$8*0.95/100),SQRT(($H$5+$M$5+(C$69*$F$67*$C$7+$B87)/4)*9.8/1000/$M$8/1.225/($M$4/1000)^4)*60/$H$8/(C$69*$C$5-C58-((C$69*$C$5-C58)-((C$69*$C$5-C58)^2-4*C33*($H$4+2*($H$10+$H$11))/1000)^(1/2))/2)&lt;($R$7*0.95/100)),"   mKV!",TRUE,(1-$C$12/100)*(1-$R$4/100)*C$69*$F$67*$C$4*$C$5*60/1000/(C58^2/($C$6*C$69/$F$67/1000)+$R$5+4*C33+((C$69*$C$5-C58)-((C$69*$C$5-C58)^2-4*C33*($H$4+2*($H$10+$H$11))/1000)^(1/2))^2/($H$4+2*($H$10+$H$11))*1000))</f>
        <v>#NUM!</v>
      </c>
      <c r="D87" s="4" t="str">
        <f t="shared" ca="1" si="99"/>
        <v xml:space="preserve">    batt!</v>
      </c>
      <c r="E87" s="4" t="str">
        <f t="shared" ca="1" si="99"/>
        <v xml:space="preserve">    batt!</v>
      </c>
      <c r="F87" s="4" t="str">
        <f t="shared" ca="1" si="99"/>
        <v xml:space="preserve">    batt!</v>
      </c>
      <c r="G87" s="4" t="str">
        <f t="shared" ca="1" si="99"/>
        <v xml:space="preserve">    batt!</v>
      </c>
      <c r="H87" s="4" t="str">
        <f t="shared" ca="1" si="99"/>
        <v xml:space="preserve">    batt!</v>
      </c>
      <c r="I87" s="4">
        <f t="shared" ca="1" si="99"/>
        <v>37.000817212008478</v>
      </c>
      <c r="J87" s="4" t="str">
        <f t="shared" ca="1" si="99"/>
        <v xml:space="preserve">   mKV!</v>
      </c>
      <c r="K87" s="4" t="str">
        <f t="shared" ca="1" si="99"/>
        <v xml:space="preserve">   mKV!</v>
      </c>
      <c r="L87" s="4" t="str">
        <f t="shared" ca="1" si="99"/>
        <v xml:space="preserve">   mKV!</v>
      </c>
      <c r="M87" s="4" t="str">
        <f t="shared" ca="1" si="99"/>
        <v xml:space="preserve">   mKV!</v>
      </c>
      <c r="N87" s="4" t="str">
        <f t="shared" ca="1" si="99"/>
        <v xml:space="preserve">   mKV!</v>
      </c>
      <c r="Q87" t="s">
        <v>270</v>
      </c>
    </row>
    <row r="88" spans="1:29" x14ac:dyDescent="0.25">
      <c r="A88" s="15"/>
      <c r="B88">
        <v>1000</v>
      </c>
      <c r="C88" s="4" t="e">
        <f t="shared" ref="C88:N88" ca="1" si="100">_xlfn.IFS(((C59^2/($C$6*C$69/$F$67/1000)+$R$5+4*C34+((C$69*$C$5-C59)-((C$69*$C$5-C59)^2-4*C34*($H$4+2*($H$10+$H$11))/1000)^(1/2))^2/($H$4+2*($H$10+$H$11))*1000)/(C$69*$C$10*0.95)/$F$67)&gt;$C$11,"    batt!",OR((((C$69*$C$5-C59)-((C$69*$C$5-C59)^2-4*C34*($H$4+2*($H$10+$H$11))/1000)^(1/2))/2/($H$4+2*($H$10+$H$11))*1000)&gt;$H$7,C34/SQRT(SQRT(($H$5+$M$5+(C$69*$F$67*$C$7+$B88)/4)*9.8/1000/$M$8/1.225/($M$4/1000)^4)*60/$H$8*(C$69*$C$5-C59-((C$69*$C$5-C59)-((C$69*$C$5-C59)^2-4*C34*($H$4+2*($H$10+$H$11))/1000)^(1/2))/2))&gt;$H$7),"   mOC!",C34&gt;$H$6,"    mop!",OR(SQRT(($H$5+$M$5+(C$69*$F$67*$C$7+$B88)/4)*9.8/1000/$M$8/1.225/($M$4/1000)^4)*60/$H$8/(C$69*$C$5-C59-((C$69*$C$5-C59)-((C$69*$C$5-C59)^2-4*C34*($H$4+2*($H$10+$H$11))/1000)^(1/2))/2)&gt;($R$8*0.95/100),SQRT(($H$5+$M$5+(C$69*$F$67*$C$7+$B88)/4)*9.8/1000/$M$8/1.225/($M$4/1000)^4)*60/$H$8/(C$69*$C$5-C59-((C$69*$C$5-C59)-((C$69*$C$5-C59)^2-4*C34*($H$4+2*($H$10+$H$11))/1000)^(1/2))/2)&lt;($R$7*0.95/100)),"   mKV!",TRUE,(1-$C$12/100)*(1-$R$4/100)*C$69*$F$67*$C$4*$C$5*60/1000/(C59^2/($C$6*C$69/$F$67/1000)+$R$5+4*C34+((C$69*$C$5-C59)-((C$69*$C$5-C59)^2-4*C34*($H$4+2*($H$10+$H$11))/1000)^(1/2))^2/($H$4+2*($H$10+$H$11))*1000))</f>
        <v>#NUM!</v>
      </c>
      <c r="D88" s="4" t="str">
        <f t="shared" ca="1" si="100"/>
        <v xml:space="preserve">    batt!</v>
      </c>
      <c r="E88" s="4" t="str">
        <f t="shared" ca="1" si="100"/>
        <v xml:space="preserve">    batt!</v>
      </c>
      <c r="F88" s="4" t="str">
        <f t="shared" ca="1" si="100"/>
        <v xml:space="preserve">    batt!</v>
      </c>
      <c r="G88" s="4" t="str">
        <f t="shared" ca="1" si="100"/>
        <v xml:space="preserve">    batt!</v>
      </c>
      <c r="H88" s="4" t="str">
        <f t="shared" ca="1" si="100"/>
        <v xml:space="preserve">    batt!</v>
      </c>
      <c r="I88" s="4" t="str">
        <f t="shared" ca="1" si="100"/>
        <v xml:space="preserve">    batt!</v>
      </c>
      <c r="J88" s="4" t="str">
        <f t="shared" ca="1" si="100"/>
        <v xml:space="preserve">   mKV!</v>
      </c>
      <c r="K88" s="4" t="str">
        <f t="shared" ca="1" si="100"/>
        <v xml:space="preserve">   mKV!</v>
      </c>
      <c r="L88" s="4" t="str">
        <f t="shared" ca="1" si="100"/>
        <v xml:space="preserve">   mKV!</v>
      </c>
      <c r="M88" s="4" t="str">
        <f t="shared" ca="1" si="100"/>
        <v xml:space="preserve">   mKV!</v>
      </c>
      <c r="N88" s="4" t="str">
        <f t="shared" ca="1" si="100"/>
        <v xml:space="preserve">   mKV!</v>
      </c>
      <c r="Q88" s="9" t="s">
        <v>171</v>
      </c>
      <c r="R88" t="s">
        <v>267</v>
      </c>
    </row>
    <row r="89" spans="1:29" x14ac:dyDescent="0.25">
      <c r="A89" s="15"/>
      <c r="B89">
        <v>1050</v>
      </c>
      <c r="C89" s="4" t="e">
        <f t="shared" ref="C89:N89" ca="1" si="101">_xlfn.IFS(((C60^2/($C$6*C$69/$F$67/1000)+$R$5+4*C35+((C$69*$C$5-C60)-((C$69*$C$5-C60)^2-4*C35*($H$4+2*($H$10+$H$11))/1000)^(1/2))^2/($H$4+2*($H$10+$H$11))*1000)/(C$69*$C$10*0.95)/$F$67)&gt;$C$11,"    batt!",OR((((C$69*$C$5-C60)-((C$69*$C$5-C60)^2-4*C35*($H$4+2*($H$10+$H$11))/1000)^(1/2))/2/($H$4+2*($H$10+$H$11))*1000)&gt;$H$7,C35/SQRT(SQRT(($H$5+$M$5+(C$69*$F$67*$C$7+$B89)/4)*9.8/1000/$M$8/1.225/($M$4/1000)^4)*60/$H$8*(C$69*$C$5-C60-((C$69*$C$5-C60)-((C$69*$C$5-C60)^2-4*C35*($H$4+2*($H$10+$H$11))/1000)^(1/2))/2))&gt;$H$7),"   mOC!",C35&gt;$H$6,"    mop!",OR(SQRT(($H$5+$M$5+(C$69*$F$67*$C$7+$B89)/4)*9.8/1000/$M$8/1.225/($M$4/1000)^4)*60/$H$8/(C$69*$C$5-C60-((C$69*$C$5-C60)-((C$69*$C$5-C60)^2-4*C35*($H$4+2*($H$10+$H$11))/1000)^(1/2))/2)&gt;($R$8*0.95/100),SQRT(($H$5+$M$5+(C$69*$F$67*$C$7+$B89)/4)*9.8/1000/$M$8/1.225/($M$4/1000)^4)*60/$H$8/(C$69*$C$5-C60-((C$69*$C$5-C60)-((C$69*$C$5-C60)^2-4*C35*($H$4+2*($H$10+$H$11))/1000)^(1/2))/2)&lt;($R$7*0.95/100)),"   mKV!",TRUE,(1-$C$12/100)*(1-$R$4/100)*C$69*$F$67*$C$4*$C$5*60/1000/(C60^2/($C$6*C$69/$F$67/1000)+$R$5+4*C35+((C$69*$C$5-C60)-((C$69*$C$5-C60)^2-4*C35*($H$4+2*($H$10+$H$11))/1000)^(1/2))^2/($H$4+2*($H$10+$H$11))*1000))</f>
        <v>#NUM!</v>
      </c>
      <c r="D89" s="4" t="str">
        <f t="shared" ca="1" si="101"/>
        <v xml:space="preserve">    batt!</v>
      </c>
      <c r="E89" s="4" t="str">
        <f t="shared" ca="1" si="101"/>
        <v xml:space="preserve">    batt!</v>
      </c>
      <c r="F89" s="4" t="str">
        <f t="shared" ca="1" si="101"/>
        <v xml:space="preserve">    batt!</v>
      </c>
      <c r="G89" s="4" t="str">
        <f t="shared" ca="1" si="101"/>
        <v xml:space="preserve">    batt!</v>
      </c>
      <c r="H89" s="4" t="str">
        <f t="shared" ca="1" si="101"/>
        <v xml:space="preserve">    batt!</v>
      </c>
      <c r="I89" s="4" t="str">
        <f t="shared" ca="1" si="101"/>
        <v xml:space="preserve">    batt!</v>
      </c>
      <c r="J89" s="4" t="str">
        <f t="shared" ca="1" si="101"/>
        <v xml:space="preserve">    batt!</v>
      </c>
      <c r="K89" s="4" t="str">
        <f t="shared" ca="1" si="101"/>
        <v xml:space="preserve">   mKV!</v>
      </c>
      <c r="L89" s="4" t="str">
        <f t="shared" ca="1" si="101"/>
        <v xml:space="preserve">   mKV!</v>
      </c>
      <c r="M89" s="4" t="str">
        <f t="shared" ca="1" si="101"/>
        <v xml:space="preserve">   mKV!</v>
      </c>
      <c r="N89" s="4" t="str">
        <f t="shared" ca="1" si="101"/>
        <v xml:space="preserve">   mKV!</v>
      </c>
      <c r="Q89" t="s">
        <v>282</v>
      </c>
      <c r="R89" t="s">
        <v>172</v>
      </c>
    </row>
    <row r="90" spans="1:29" x14ac:dyDescent="0.25">
      <c r="A90" s="15"/>
      <c r="B90">
        <v>1100</v>
      </c>
      <c r="C90" s="4" t="e">
        <f t="shared" ref="C90:N90" ca="1" si="102">_xlfn.IFS(((C61^2/($C$6*C$69/$F$67/1000)+$R$5+4*C36+((C$69*$C$5-C61)-((C$69*$C$5-C61)^2-4*C36*($H$4+2*($H$10+$H$11))/1000)^(1/2))^2/($H$4+2*($H$10+$H$11))*1000)/(C$69*$C$10*0.95)/$F$67)&gt;$C$11,"    batt!",OR((((C$69*$C$5-C61)-((C$69*$C$5-C61)^2-4*C36*($H$4+2*($H$10+$H$11))/1000)^(1/2))/2/($H$4+2*($H$10+$H$11))*1000)&gt;$H$7,C36/SQRT(SQRT(($H$5+$M$5+(C$69*$F$67*$C$7+$B90)/4)*9.8/1000/$M$8/1.225/($M$4/1000)^4)*60/$H$8*(C$69*$C$5-C61-((C$69*$C$5-C61)-((C$69*$C$5-C61)^2-4*C36*($H$4+2*($H$10+$H$11))/1000)^(1/2))/2))&gt;$H$7),"   mOC!",C36&gt;$H$6,"    mop!",OR(SQRT(($H$5+$M$5+(C$69*$F$67*$C$7+$B90)/4)*9.8/1000/$M$8/1.225/($M$4/1000)^4)*60/$H$8/(C$69*$C$5-C61-((C$69*$C$5-C61)-((C$69*$C$5-C61)^2-4*C36*($H$4+2*($H$10+$H$11))/1000)^(1/2))/2)&gt;($R$8*0.95/100),SQRT(($H$5+$M$5+(C$69*$F$67*$C$7+$B90)/4)*9.8/1000/$M$8/1.225/($M$4/1000)^4)*60/$H$8/(C$69*$C$5-C61-((C$69*$C$5-C61)-((C$69*$C$5-C61)^2-4*C36*($H$4+2*($H$10+$H$11))/1000)^(1/2))/2)&lt;($R$7*0.95/100)),"   mKV!",TRUE,(1-$C$12/100)*(1-$R$4/100)*C$69*$F$67*$C$4*$C$5*60/1000/(C61^2/($C$6*C$69/$F$67/1000)+$R$5+4*C36+((C$69*$C$5-C61)-((C$69*$C$5-C61)^2-4*C36*($H$4+2*($H$10+$H$11))/1000)^(1/2))^2/($H$4+2*($H$10+$H$11))*1000))</f>
        <v>#NUM!</v>
      </c>
      <c r="D90" s="4" t="str">
        <f t="shared" ca="1" si="102"/>
        <v xml:space="preserve">    batt!</v>
      </c>
      <c r="E90" s="4" t="str">
        <f t="shared" ca="1" si="102"/>
        <v xml:space="preserve">    batt!</v>
      </c>
      <c r="F90" s="4" t="str">
        <f t="shared" ca="1" si="102"/>
        <v xml:space="preserve">    batt!</v>
      </c>
      <c r="G90" s="4" t="str">
        <f t="shared" ca="1" si="102"/>
        <v xml:space="preserve">    batt!</v>
      </c>
      <c r="H90" s="4" t="str">
        <f t="shared" ca="1" si="102"/>
        <v xml:space="preserve">    batt!</v>
      </c>
      <c r="I90" s="4" t="str">
        <f t="shared" ca="1" si="102"/>
        <v xml:space="preserve">    batt!</v>
      </c>
      <c r="J90" s="4" t="str">
        <f t="shared" ca="1" si="102"/>
        <v xml:space="preserve">    batt!</v>
      </c>
      <c r="K90" s="4" t="str">
        <f t="shared" ca="1" si="102"/>
        <v xml:space="preserve">   mKV!</v>
      </c>
      <c r="L90" s="4" t="str">
        <f t="shared" ca="1" si="102"/>
        <v xml:space="preserve">   mKV!</v>
      </c>
      <c r="M90" s="4" t="str">
        <f t="shared" ca="1" si="102"/>
        <v xml:space="preserve">   mKV!</v>
      </c>
      <c r="N90" s="4" t="str">
        <f t="shared" ca="1" si="102"/>
        <v xml:space="preserve">   mKV!</v>
      </c>
      <c r="Q90" t="s">
        <v>283</v>
      </c>
      <c r="R90" t="s">
        <v>268</v>
      </c>
    </row>
    <row r="91" spans="1:29" x14ac:dyDescent="0.25">
      <c r="A91" s="15"/>
      <c r="B91">
        <v>1150</v>
      </c>
      <c r="C91" s="4" t="e">
        <f t="shared" ref="C91:N91" ca="1" si="103">_xlfn.IFS(((C62^2/($C$6*C$69/$F$67/1000)+$R$5+4*C37+((C$69*$C$5-C62)-((C$69*$C$5-C62)^2-4*C37*($H$4+2*($H$10+$H$11))/1000)^(1/2))^2/($H$4+2*($H$10+$H$11))*1000)/(C$69*$C$10*0.95)/$F$67)&gt;$C$11,"    batt!",OR((((C$69*$C$5-C62)-((C$69*$C$5-C62)^2-4*C37*($H$4+2*($H$10+$H$11))/1000)^(1/2))/2/($H$4+2*($H$10+$H$11))*1000)&gt;$H$7,C37/SQRT(SQRT(($H$5+$M$5+(C$69*$F$67*$C$7+$B91)/4)*9.8/1000/$M$8/1.225/($M$4/1000)^4)*60/$H$8*(C$69*$C$5-C62-((C$69*$C$5-C62)-((C$69*$C$5-C62)^2-4*C37*($H$4+2*($H$10+$H$11))/1000)^(1/2))/2))&gt;$H$7),"   mOC!",C37&gt;$H$6,"    mop!",OR(SQRT(($H$5+$M$5+(C$69*$F$67*$C$7+$B91)/4)*9.8/1000/$M$8/1.225/($M$4/1000)^4)*60/$H$8/(C$69*$C$5-C62-((C$69*$C$5-C62)-((C$69*$C$5-C62)^2-4*C37*($H$4+2*($H$10+$H$11))/1000)^(1/2))/2)&gt;($R$8*0.95/100),SQRT(($H$5+$M$5+(C$69*$F$67*$C$7+$B91)/4)*9.8/1000/$M$8/1.225/($M$4/1000)^4)*60/$H$8/(C$69*$C$5-C62-((C$69*$C$5-C62)-((C$69*$C$5-C62)^2-4*C37*($H$4+2*($H$10+$H$11))/1000)^(1/2))/2)&lt;($R$7*0.95/100)),"   mKV!",TRUE,(1-$C$12/100)*(1-$R$4/100)*C$69*$F$67*$C$4*$C$5*60/1000/(C62^2/($C$6*C$69/$F$67/1000)+$R$5+4*C37+((C$69*$C$5-C62)-((C$69*$C$5-C62)^2-4*C37*($H$4+2*($H$10+$H$11))/1000)^(1/2))^2/($H$4+2*($H$10+$H$11))*1000))</f>
        <v>#NUM!</v>
      </c>
      <c r="D91" s="4" t="str">
        <f t="shared" ca="1" si="103"/>
        <v xml:space="preserve">    batt!</v>
      </c>
      <c r="E91" s="4" t="str">
        <f t="shared" ca="1" si="103"/>
        <v xml:space="preserve">    batt!</v>
      </c>
      <c r="F91" s="4" t="str">
        <f t="shared" ca="1" si="103"/>
        <v xml:space="preserve">    batt!</v>
      </c>
      <c r="G91" s="4" t="str">
        <f t="shared" ca="1" si="103"/>
        <v xml:space="preserve">    batt!</v>
      </c>
      <c r="H91" s="4" t="str">
        <f t="shared" ca="1" si="103"/>
        <v xml:space="preserve">    batt!</v>
      </c>
      <c r="I91" s="4" t="str">
        <f t="shared" ca="1" si="103"/>
        <v xml:space="preserve">    batt!</v>
      </c>
      <c r="J91" s="4" t="str">
        <f t="shared" ca="1" si="103"/>
        <v xml:space="preserve">    batt!</v>
      </c>
      <c r="K91" s="4" t="str">
        <f t="shared" ca="1" si="103"/>
        <v xml:space="preserve">    batt!</v>
      </c>
      <c r="L91" s="4" t="str">
        <f t="shared" ca="1" si="103"/>
        <v xml:space="preserve">   mKV!</v>
      </c>
      <c r="M91" s="4" t="str">
        <f t="shared" ca="1" si="103"/>
        <v xml:space="preserve">   mKV!</v>
      </c>
      <c r="N91" s="4" t="str">
        <f t="shared" ca="1" si="103"/>
        <v xml:space="preserve">   mKV!</v>
      </c>
      <c r="Q91" t="s">
        <v>284</v>
      </c>
      <c r="R91" t="s">
        <v>269</v>
      </c>
    </row>
    <row r="92" spans="1:29" x14ac:dyDescent="0.25">
      <c r="A92" s="15"/>
      <c r="B92">
        <v>1200</v>
      </c>
      <c r="C92" s="4" t="e">
        <f t="shared" ref="C92:N92" ca="1" si="104">_xlfn.IFS(((C63^2/($C$6*C$69/$F$67/1000)+$R$5+4*C38+((C$69*$C$5-C63)-((C$69*$C$5-C63)^2-4*C38*($H$4+2*($H$10+$H$11))/1000)^(1/2))^2/($H$4+2*($H$10+$H$11))*1000)/(C$69*$C$10*0.95)/$F$67)&gt;$C$11,"    batt!",OR((((C$69*$C$5-C63)-((C$69*$C$5-C63)^2-4*C38*($H$4+2*($H$10+$H$11))/1000)^(1/2))/2/($H$4+2*($H$10+$H$11))*1000)&gt;$H$7,C38/SQRT(SQRT(($H$5+$M$5+(C$69*$F$67*$C$7+$B92)/4)*9.8/1000/$M$8/1.225/($M$4/1000)^4)*60/$H$8*(C$69*$C$5-C63-((C$69*$C$5-C63)-((C$69*$C$5-C63)^2-4*C38*($H$4+2*($H$10+$H$11))/1000)^(1/2))/2))&gt;$H$7),"   mOC!",C38&gt;$H$6,"    mop!",OR(SQRT(($H$5+$M$5+(C$69*$F$67*$C$7+$B92)/4)*9.8/1000/$M$8/1.225/($M$4/1000)^4)*60/$H$8/(C$69*$C$5-C63-((C$69*$C$5-C63)-((C$69*$C$5-C63)^2-4*C38*($H$4+2*($H$10+$H$11))/1000)^(1/2))/2)&gt;($R$8*0.95/100),SQRT(($H$5+$M$5+(C$69*$F$67*$C$7+$B92)/4)*9.8/1000/$M$8/1.225/($M$4/1000)^4)*60/$H$8/(C$69*$C$5-C63-((C$69*$C$5-C63)-((C$69*$C$5-C63)^2-4*C38*($H$4+2*($H$10+$H$11))/1000)^(1/2))/2)&lt;($R$7*0.95/100)),"   mKV!",TRUE,(1-$C$12/100)*(1-$R$4/100)*C$69*$F$67*$C$4*$C$5*60/1000/(C63^2/($C$6*C$69/$F$67/1000)+$R$5+4*C38+((C$69*$C$5-C63)-((C$69*$C$5-C63)^2-4*C38*($H$4+2*($H$10+$H$11))/1000)^(1/2))^2/($H$4+2*($H$10+$H$11))*1000))</f>
        <v>#NUM!</v>
      </c>
      <c r="D92" s="4" t="str">
        <f t="shared" ca="1" si="104"/>
        <v xml:space="preserve">    batt!</v>
      </c>
      <c r="E92" s="4" t="str">
        <f t="shared" ca="1" si="104"/>
        <v xml:space="preserve">    batt!</v>
      </c>
      <c r="F92" s="4" t="str">
        <f t="shared" ca="1" si="104"/>
        <v xml:space="preserve">    batt!</v>
      </c>
      <c r="G92" s="4" t="str">
        <f t="shared" ca="1" si="104"/>
        <v xml:space="preserve">    batt!</v>
      </c>
      <c r="H92" s="4" t="str">
        <f t="shared" ca="1" si="104"/>
        <v xml:space="preserve">    batt!</v>
      </c>
      <c r="I92" s="4" t="str">
        <f t="shared" ca="1" si="104"/>
        <v xml:space="preserve">    batt!</v>
      </c>
      <c r="J92" s="4" t="str">
        <f t="shared" ca="1" si="104"/>
        <v xml:space="preserve">    batt!</v>
      </c>
      <c r="K92" s="4" t="str">
        <f t="shared" ca="1" si="104"/>
        <v xml:space="preserve">    batt!</v>
      </c>
      <c r="L92" s="4" t="str">
        <f t="shared" ca="1" si="104"/>
        <v xml:space="preserve">    batt!</v>
      </c>
      <c r="M92" s="4" t="str">
        <f t="shared" ca="1" si="104"/>
        <v xml:space="preserve">   mKV!</v>
      </c>
      <c r="N92" s="4" t="str">
        <f t="shared" ca="1" si="104"/>
        <v xml:space="preserve">   mKV!</v>
      </c>
      <c r="Q92" t="s">
        <v>290</v>
      </c>
      <c r="R92" t="s">
        <v>281</v>
      </c>
    </row>
    <row r="95" spans="1:29" s="1" customFormat="1" x14ac:dyDescent="0.25">
      <c r="A95" s="1" t="s">
        <v>139</v>
      </c>
    </row>
    <row r="96" spans="1:29" x14ac:dyDescent="0.25">
      <c r="B96" t="s">
        <v>291</v>
      </c>
      <c r="F96" s="11">
        <v>25</v>
      </c>
      <c r="G96" t="s">
        <v>289</v>
      </c>
      <c r="Q96" t="s">
        <v>291</v>
      </c>
      <c r="U96" s="11">
        <v>25</v>
      </c>
      <c r="V96" t="s">
        <v>289</v>
      </c>
    </row>
    <row r="97" spans="1:29" x14ac:dyDescent="0.25">
      <c r="A97" s="13" t="s">
        <v>2</v>
      </c>
      <c r="B97" s="13"/>
      <c r="C97" s="13" t="s">
        <v>71</v>
      </c>
      <c r="D97" s="13"/>
      <c r="E97" s="13"/>
      <c r="F97" s="13"/>
      <c r="G97" s="13"/>
      <c r="H97" s="13"/>
      <c r="I97" s="13"/>
      <c r="J97" s="13"/>
      <c r="K97" s="2"/>
      <c r="L97" s="2"/>
      <c r="M97" s="2"/>
      <c r="N97" s="2"/>
      <c r="P97" s="13" t="s">
        <v>2</v>
      </c>
      <c r="Q97" s="13"/>
      <c r="R97" s="13" t="s">
        <v>71</v>
      </c>
      <c r="S97" s="13"/>
      <c r="T97" s="13"/>
      <c r="U97" s="13"/>
      <c r="V97" s="13"/>
      <c r="W97" s="13"/>
      <c r="X97" s="13"/>
      <c r="Y97" s="13"/>
    </row>
    <row r="98" spans="1:29" x14ac:dyDescent="0.25">
      <c r="A98" s="13"/>
      <c r="B98" s="13"/>
      <c r="C98">
        <f>C69</f>
        <v>1</v>
      </c>
      <c r="D98">
        <f t="shared" ref="D98:J98" si="105">D69</f>
        <v>2</v>
      </c>
      <c r="E98">
        <f t="shared" si="105"/>
        <v>3</v>
      </c>
      <c r="F98">
        <f t="shared" si="105"/>
        <v>4</v>
      </c>
      <c r="G98">
        <f t="shared" si="105"/>
        <v>5</v>
      </c>
      <c r="H98">
        <f t="shared" si="105"/>
        <v>6</v>
      </c>
      <c r="I98">
        <f t="shared" si="105"/>
        <v>7</v>
      </c>
      <c r="J98">
        <f t="shared" si="105"/>
        <v>8</v>
      </c>
      <c r="K98">
        <v>9</v>
      </c>
      <c r="L98">
        <v>10</v>
      </c>
      <c r="M98">
        <v>11</v>
      </c>
      <c r="N98">
        <v>12</v>
      </c>
      <c r="P98" s="13"/>
      <c r="Q98" s="13"/>
      <c r="R98">
        <f>R69</f>
        <v>1</v>
      </c>
      <c r="S98">
        <f t="shared" ref="S98:AA98" si="106">S69</f>
        <v>2</v>
      </c>
      <c r="T98">
        <f t="shared" si="106"/>
        <v>3</v>
      </c>
      <c r="U98">
        <f t="shared" si="106"/>
        <v>4</v>
      </c>
      <c r="V98">
        <f t="shared" si="106"/>
        <v>5</v>
      </c>
      <c r="W98">
        <f t="shared" si="106"/>
        <v>6</v>
      </c>
      <c r="X98">
        <f t="shared" si="106"/>
        <v>7</v>
      </c>
      <c r="Y98">
        <f t="shared" si="106"/>
        <v>8</v>
      </c>
      <c r="Z98">
        <f t="shared" si="106"/>
        <v>9</v>
      </c>
      <c r="AA98">
        <f t="shared" si="106"/>
        <v>10</v>
      </c>
      <c r="AB98">
        <v>11</v>
      </c>
      <c r="AC98">
        <v>12</v>
      </c>
    </row>
    <row r="99" spans="1:29" ht="13.8" customHeight="1" x14ac:dyDescent="0.25">
      <c r="A99" s="15" t="s">
        <v>72</v>
      </c>
      <c r="B99">
        <f>B70</f>
        <v>100</v>
      </c>
      <c r="C99" s="4" t="str">
        <f ca="1">IF(OR(C70="    batt!",C70="   mOC!",C70="    mop!"),C70,1.052*SQRT(($H$5+$M$5+(C$69*$F$67*$C$7+$B70)/4)*9.8/1000/$M$8/1.225/($M$4/1000)^4)*60/($F$96/100)/(C$69*$C$5-C41-((C$69*$C$5-C41)-((C$69*$C$5-C41)^2-4*C16*($H$4+2*($H$10+$H$11))/1000)^(1/2))/2))</f>
        <v xml:space="preserve">    batt!</v>
      </c>
      <c r="D99" s="4">
        <f t="shared" ref="D99:N99" ca="1" si="107">IF(OR(D70="    batt!",D70="   mOC!",D70="    mop!"),D70,1.052*SQRT(($H$5+$M$5+(D$69*$F$67*$C$7+$B70)/4)*9.8/1000/$M$8/1.225/($M$4/1000)^4)*60/($F$96/100)/(D$69*$C$5-D41-((D$69*$C$5-D41)-((D$69*$C$5-D41)^2-4*D16*($H$4+2*($H$10+$H$11))/1000)^(1/2))/2))</f>
        <v>4333.3070343229911</v>
      </c>
      <c r="E99" s="4">
        <f t="shared" ca="1" si="107"/>
        <v>3266.7974303735778</v>
      </c>
      <c r="F99" s="4">
        <f t="shared" ca="1" si="107"/>
        <v>2708.1222250666383</v>
      </c>
      <c r="G99" s="4">
        <f t="shared" ca="1" si="107"/>
        <v>2356.0405209788328</v>
      </c>
      <c r="H99" s="4">
        <f t="shared" ca="1" si="107"/>
        <v>2109.985002831791</v>
      </c>
      <c r="I99" s="4">
        <f t="shared" ca="1" si="107"/>
        <v>1926.2792221586769</v>
      </c>
      <c r="J99" s="4">
        <f t="shared" ca="1" si="107"/>
        <v>1782.6930538159197</v>
      </c>
      <c r="K99" s="4">
        <f t="shared" ca="1" si="107"/>
        <v>1666.6305755108363</v>
      </c>
      <c r="L99" s="4">
        <f t="shared" ca="1" si="107"/>
        <v>1570.3779396003958</v>
      </c>
      <c r="M99" s="4">
        <f t="shared" ca="1" si="107"/>
        <v>1488.9239967826652</v>
      </c>
      <c r="N99" s="4">
        <f t="shared" ca="1" si="107"/>
        <v>1418.8588751805669</v>
      </c>
      <c r="P99" s="13" t="s">
        <v>70</v>
      </c>
      <c r="Q99">
        <f>Q70</f>
        <v>1</v>
      </c>
      <c r="R99" s="4" t="str">
        <f ca="1">IF(OR(R70="    batt!",R70="   mOC!",R70="    mop!"),R70,1.052*SQRT(($H$5+$M$5+(R$69*$Q70*$C$7+$U$67)/4)*9.8/1000/$M$8/1.225/($M$4/1000)^4)*60/($U$96/100)/(R$69*$C$5-R41-((R$69*$C$5-R41)-((R$69*$C$5-R41)^2-4*R16*($H$4+2*($H$10+$H$11))/1000)^(1/2))/2))</f>
        <v xml:space="preserve">    batt!</v>
      </c>
      <c r="S99" s="4" t="str">
        <f t="shared" ref="S99:AC99" ca="1" si="108">IF(OR(S70="    batt!",S70="   mOC!",S70="    mop!"),S70,1.052*SQRT(($H$5+$M$5+(S$69*$Q70*$C$7+$U$67)/4)*9.8/1000/$M$8/1.225/($M$4/1000)^4)*60/($U$96/100)/(S$69*$C$5-S41-((S$69*$C$5-S41)-((S$69*$C$5-S41)^2-4*S16*($H$4+2*($H$10+$H$11))/1000)^(1/2))/2))</f>
        <v xml:space="preserve">    batt!</v>
      </c>
      <c r="T99" s="4" t="str">
        <f t="shared" ca="1" si="108"/>
        <v xml:space="preserve">    batt!</v>
      </c>
      <c r="U99" s="4" t="str">
        <f t="shared" ca="1" si="108"/>
        <v xml:space="preserve">    batt!</v>
      </c>
      <c r="V99" s="4" t="str">
        <f t="shared" ca="1" si="108"/>
        <v xml:space="preserve">    batt!</v>
      </c>
      <c r="W99" s="4" t="str">
        <f t="shared" ca="1" si="108"/>
        <v xml:space="preserve">    batt!</v>
      </c>
      <c r="X99" s="4">
        <f t="shared" ca="1" si="108"/>
        <v>1947.4369470915888</v>
      </c>
      <c r="Y99" s="4">
        <f t="shared" ca="1" si="108"/>
        <v>1750.8000705535751</v>
      </c>
      <c r="Z99" s="4">
        <f t="shared" ca="1" si="108"/>
        <v>1597.2355787540055</v>
      </c>
      <c r="AA99" s="4">
        <f t="shared" ca="1" si="108"/>
        <v>1473.732528555495</v>
      </c>
      <c r="AB99" s="4">
        <f t="shared" ca="1" si="108"/>
        <v>1372.0649245951406</v>
      </c>
      <c r="AC99" s="4">
        <f t="shared" ca="1" si="108"/>
        <v>1286.7732054631254</v>
      </c>
    </row>
    <row r="100" spans="1:29" x14ac:dyDescent="0.25">
      <c r="A100" s="15"/>
      <c r="B100">
        <f t="shared" ref="B100:B121" si="109">B71</f>
        <v>150</v>
      </c>
      <c r="C100" s="4" t="str">
        <f t="shared" ref="C100:N100" ca="1" si="110">IF(OR(C71="    batt!",C71="   mOC!",C71="    mop!"),C71,1.052*SQRT(($H$5+$M$5+(C$69*$F$67*$C$7+$B71)/4)*9.8/1000/$M$8/1.225/($M$4/1000)^4)*60/($F$96/100)/(C$69*$C$5-C42-((C$69*$C$5-C42)-((C$69*$C$5-C42)^2-4*C17*($H$4+2*($H$10+$H$11))/1000)^(1/2))/2))</f>
        <v xml:space="preserve">    batt!</v>
      </c>
      <c r="D100" s="4">
        <f t="shared" ca="1" si="110"/>
        <v>4575.156446160775</v>
      </c>
      <c r="E100" s="4">
        <f t="shared" ca="1" si="110"/>
        <v>3405.014065466703</v>
      </c>
      <c r="F100" s="4">
        <f t="shared" ca="1" si="110"/>
        <v>2800.7963050094613</v>
      </c>
      <c r="G100" s="4">
        <f t="shared" ca="1" si="110"/>
        <v>2423.8236538745114</v>
      </c>
      <c r="H100" s="4">
        <f t="shared" ca="1" si="110"/>
        <v>2162.3822294441579</v>
      </c>
      <c r="I100" s="4">
        <f t="shared" ca="1" si="110"/>
        <v>1968.3714776949046</v>
      </c>
      <c r="J100" s="4">
        <f t="shared" ca="1" si="110"/>
        <v>1817.4800551357137</v>
      </c>
      <c r="K100" s="4">
        <f t="shared" ca="1" si="110"/>
        <v>1696.0142293773379</v>
      </c>
      <c r="L100" s="4">
        <f t="shared" ca="1" si="110"/>
        <v>1595.6308934574181</v>
      </c>
      <c r="M100" s="4">
        <f t="shared" ca="1" si="110"/>
        <v>1510.9346067957551</v>
      </c>
      <c r="N100" s="4">
        <f t="shared" ca="1" si="110"/>
        <v>1438.268755168345</v>
      </c>
      <c r="P100" s="13"/>
      <c r="Q100">
        <f t="shared" ref="Q100:Q106" si="111">Q71</f>
        <v>2</v>
      </c>
      <c r="R100" s="4" t="str">
        <f t="shared" ref="R100:AC100" ca="1" si="112">IF(OR(R71="    batt!",R71="   mOC!",R71="    mop!"),R71,1.052*SQRT(($H$5+$M$5+(R$69*$Q71*$C$7+$U$67)/4)*9.8/1000/$M$8/1.225/($M$4/1000)^4)*60/($U$96/100)/(R$69*$C$5-R42-((R$69*$C$5-R42)-((R$69*$C$5-R42)^2-4*R17*($H$4+2*($H$10+$H$11))/1000)^(1/2))/2))</f>
        <v xml:space="preserve">    batt!</v>
      </c>
      <c r="S100" s="4" t="str">
        <f t="shared" ca="1" si="112"/>
        <v xml:space="preserve">    batt!</v>
      </c>
      <c r="T100" s="4" t="str">
        <f t="shared" ca="1" si="112"/>
        <v xml:space="preserve">    batt!</v>
      </c>
      <c r="U100" s="4">
        <f t="shared" ca="1" si="112"/>
        <v>3551.6328735532279</v>
      </c>
      <c r="V100" s="4">
        <f t="shared" ca="1" si="112"/>
        <v>2978.6443476808904</v>
      </c>
      <c r="W100" s="4">
        <f t="shared" ca="1" si="112"/>
        <v>2595.205136902277</v>
      </c>
      <c r="X100" s="4">
        <f t="shared" ca="1" si="112"/>
        <v>2318.8050896831128</v>
      </c>
      <c r="Y100" s="4">
        <f t="shared" ca="1" si="112"/>
        <v>2109.0319427370746</v>
      </c>
      <c r="Z100" s="4">
        <f t="shared" ca="1" si="112"/>
        <v>1943.687355399016</v>
      </c>
      <c r="AA100" s="4">
        <f t="shared" ca="1" si="112"/>
        <v>1809.5329640309503</v>
      </c>
      <c r="AB100" s="4">
        <f t="shared" ca="1" si="112"/>
        <v>1698.1677821265093</v>
      </c>
      <c r="AC100" s="4">
        <f t="shared" ca="1" si="112"/>
        <v>1603.9943803300232</v>
      </c>
    </row>
    <row r="101" spans="1:29" x14ac:dyDescent="0.25">
      <c r="A101" s="15"/>
      <c r="B101">
        <f t="shared" si="109"/>
        <v>200</v>
      </c>
      <c r="C101" s="4" t="str">
        <f t="shared" ref="C101:N101" ca="1" si="113">IF(OR(C72="    batt!",C72="   mOC!",C72="    mop!"),C72,1.052*SQRT(($H$5+$M$5+(C$69*$F$67*$C$7+$B72)/4)*9.8/1000/$M$8/1.225/($M$4/1000)^4)*60/($F$96/100)/(C$69*$C$5-C43-((C$69*$C$5-C43)-((C$69*$C$5-C43)^2-4*C18*($H$4+2*($H$10+$H$11))/1000)^(1/2))/2))</f>
        <v xml:space="preserve">    batt!</v>
      </c>
      <c r="D101" s="4">
        <f t="shared" ca="1" si="113"/>
        <v>4809.1135079523601</v>
      </c>
      <c r="E101" s="4">
        <f t="shared" ca="1" si="113"/>
        <v>3539.1639328299634</v>
      </c>
      <c r="F101" s="4">
        <f t="shared" ca="1" si="113"/>
        <v>2891.1032002655129</v>
      </c>
      <c r="G101" s="4">
        <f t="shared" ca="1" si="113"/>
        <v>2490.0943946930074</v>
      </c>
      <c r="H101" s="4">
        <f t="shared" ca="1" si="113"/>
        <v>2213.7461577324161</v>
      </c>
      <c r="I101" s="4">
        <f t="shared" ca="1" si="113"/>
        <v>2009.7216529100072</v>
      </c>
      <c r="J101" s="4">
        <f t="shared" ca="1" si="113"/>
        <v>1851.7132583649325</v>
      </c>
      <c r="K101" s="4">
        <f t="shared" ca="1" si="113"/>
        <v>1724.9718287600278</v>
      </c>
      <c r="L101" s="4">
        <f t="shared" ca="1" si="113"/>
        <v>1620.5478773369705</v>
      </c>
      <c r="M101" s="4">
        <f t="shared" ca="1" si="113"/>
        <v>1532.6748161422249</v>
      </c>
      <c r="N101" s="4">
        <f t="shared" ca="1" si="113"/>
        <v>1457.4572353762937</v>
      </c>
      <c r="P101" s="13"/>
      <c r="Q101">
        <f t="shared" si="111"/>
        <v>3</v>
      </c>
      <c r="R101" s="4" t="str">
        <f t="shared" ref="R101:AC101" ca="1" si="114">IF(OR(R72="    batt!",R72="   mOC!",R72="    mop!"),R72,1.052*SQRT(($H$5+$M$5+(R$69*$Q72*$C$7+$U$67)/4)*9.8/1000/$M$8/1.225/($M$4/1000)^4)*60/($U$96/100)/(R$69*$C$5-R43-((R$69*$C$5-R43)-((R$69*$C$5-R43)^2-4*R18*($H$4+2*($H$10+$H$11))/1000)^(1/2))/2))</f>
        <v xml:space="preserve">    batt!</v>
      </c>
      <c r="S101" s="4" t="str">
        <f t="shared" ca="1" si="114"/>
        <v xml:space="preserve">    batt!</v>
      </c>
      <c r="T101" s="4">
        <f t="shared" ca="1" si="114"/>
        <v>4953.8062921073661</v>
      </c>
      <c r="U101" s="4">
        <f t="shared" ca="1" si="114"/>
        <v>3949.5118952997977</v>
      </c>
      <c r="V101" s="4">
        <f t="shared" ca="1" si="114"/>
        <v>3347.7310759751053</v>
      </c>
      <c r="W101" s="4">
        <f t="shared" ca="1" si="114"/>
        <v>2942.0107509947866</v>
      </c>
      <c r="X101" s="4">
        <f t="shared" ca="1" si="114"/>
        <v>2647.4152411933592</v>
      </c>
      <c r="Y101" s="4">
        <f t="shared" ca="1" si="114"/>
        <v>2422.2936447383636</v>
      </c>
      <c r="Z101" s="4">
        <f t="shared" ca="1" si="114"/>
        <v>2243.7151928749718</v>
      </c>
      <c r="AA101" s="4">
        <f t="shared" ca="1" si="114"/>
        <v>2097.9656385056437</v>
      </c>
      <c r="AB101" s="4">
        <f t="shared" ca="1" si="114"/>
        <v>1976.3142906477074</v>
      </c>
      <c r="AC101" s="4" t="str">
        <f t="shared" ca="1" si="114"/>
        <v xml:space="preserve">    mop!</v>
      </c>
    </row>
    <row r="102" spans="1:29" x14ac:dyDescent="0.25">
      <c r="A102" s="15"/>
      <c r="B102">
        <f t="shared" si="109"/>
        <v>250</v>
      </c>
      <c r="C102" s="4" t="str">
        <f t="shared" ref="C102:N102" ca="1" si="115">IF(OR(C73="    batt!",C73="   mOC!",C73="    mop!"),C73,1.052*SQRT(($H$5+$M$5+(C$69*$F$67*$C$7+$B73)/4)*9.8/1000/$M$8/1.225/($M$4/1000)^4)*60/($F$96/100)/(C$69*$C$5-C44-((C$69*$C$5-C44)-((C$69*$C$5-C44)^2-4*C19*($H$4+2*($H$10+$H$11))/1000)^(1/2))/2))</f>
        <v xml:space="preserve">    batt!</v>
      </c>
      <c r="D102" s="4">
        <f t="shared" ca="1" si="115"/>
        <v>5036.6065776942914</v>
      </c>
      <c r="E102" s="4">
        <f t="shared" ca="1" si="115"/>
        <v>3669.7632723027136</v>
      </c>
      <c r="F102" s="4">
        <f t="shared" ca="1" si="115"/>
        <v>2979.2829691329666</v>
      </c>
      <c r="G102" s="4">
        <f t="shared" ca="1" si="115"/>
        <v>2554.9817243897837</v>
      </c>
      <c r="H102" s="4">
        <f t="shared" ca="1" si="115"/>
        <v>2264.1531214202105</v>
      </c>
      <c r="I102" s="4">
        <f t="shared" ca="1" si="115"/>
        <v>2050.3781956007583</v>
      </c>
      <c r="J102" s="4">
        <f t="shared" ca="1" si="115"/>
        <v>1885.4250912886187</v>
      </c>
      <c r="K102" s="4">
        <f t="shared" ca="1" si="115"/>
        <v>1753.5260067314616</v>
      </c>
      <c r="L102" s="4">
        <f t="shared" ca="1" si="115"/>
        <v>1645.1452323030685</v>
      </c>
      <c r="M102" s="4">
        <f t="shared" ca="1" si="115"/>
        <v>1554.1567579480684</v>
      </c>
      <c r="N102" s="4">
        <f t="shared" ca="1" si="115"/>
        <v>1476.4335390385399</v>
      </c>
      <c r="P102" s="13"/>
      <c r="Q102">
        <f t="shared" si="111"/>
        <v>4</v>
      </c>
      <c r="R102" s="4" t="str">
        <f t="shared" ref="R102:AC102" ca="1" si="116">IF(OR(R73="    batt!",R73="   mOC!",R73="    mop!"),R73,1.052*SQRT(($H$5+$M$5+(R$69*$Q73*$C$7+$U$67)/4)*9.8/1000/$M$8/1.225/($M$4/1000)^4)*60/($U$96/100)/(R$69*$C$5-R44-((R$69*$C$5-R44)-((R$69*$C$5-R44)^2-4*R19*($H$4+2*($H$10+$H$11))/1000)^(1/2))/2))</f>
        <v xml:space="preserve">    batt!</v>
      </c>
      <c r="S102" s="4">
        <f t="shared" ca="1" si="116"/>
        <v>7572.3388154991953</v>
      </c>
      <c r="T102" s="4">
        <f t="shared" ca="1" si="116"/>
        <v>5379.879794529128</v>
      </c>
      <c r="U102" s="4">
        <f t="shared" ca="1" si="116"/>
        <v>4325.9330922752033</v>
      </c>
      <c r="V102" s="4">
        <f t="shared" ca="1" si="116"/>
        <v>3691.344215494772</v>
      </c>
      <c r="W102" s="4">
        <f t="shared" ca="1" si="116"/>
        <v>3261.1838092179391</v>
      </c>
      <c r="X102" s="4" t="str">
        <f t="shared" ca="1" si="116"/>
        <v xml:space="preserve">   mOC!</v>
      </c>
      <c r="Y102" s="4" t="str">
        <f t="shared" ca="1" si="116"/>
        <v xml:space="preserve">   mOC!</v>
      </c>
      <c r="Z102" s="4" t="str">
        <f t="shared" ca="1" si="116"/>
        <v xml:space="preserve">   mOC!</v>
      </c>
      <c r="AA102" s="4" t="str">
        <f t="shared" ca="1" si="116"/>
        <v xml:space="preserve">   mOC!</v>
      </c>
      <c r="AB102" s="4" t="str">
        <f t="shared" ca="1" si="116"/>
        <v xml:space="preserve">   mOC!</v>
      </c>
      <c r="AC102" s="4" t="str">
        <f t="shared" ca="1" si="116"/>
        <v xml:space="preserve">   mOC!</v>
      </c>
    </row>
    <row r="103" spans="1:29" x14ac:dyDescent="0.25">
      <c r="A103" s="15"/>
      <c r="B103">
        <f t="shared" si="109"/>
        <v>300</v>
      </c>
      <c r="C103" s="4" t="str">
        <f t="shared" ref="C103:N103" ca="1" si="117">IF(OR(C74="    batt!",C74="   mOC!",C74="    mop!"),C74,1.052*SQRT(($H$5+$M$5+(C$69*$F$67*$C$7+$B74)/4)*9.8/1000/$M$8/1.225/($M$4/1000)^4)*60/($F$96/100)/(C$69*$C$5-C45-((C$69*$C$5-C45)-((C$69*$C$5-C45)^2-4*C20*($H$4+2*($H$10+$H$11))/1000)^(1/2))/2))</f>
        <v xml:space="preserve">    batt!</v>
      </c>
      <c r="D103" s="4">
        <f t="shared" ca="1" si="117"/>
        <v>5258.8054916747669</v>
      </c>
      <c r="E103" s="4">
        <f t="shared" ca="1" si="117"/>
        <v>3797.2476048827102</v>
      </c>
      <c r="F103" s="4">
        <f t="shared" ca="1" si="117"/>
        <v>3065.5434601098332</v>
      </c>
      <c r="G103" s="4">
        <f t="shared" ca="1" si="117"/>
        <v>2618.5995387755174</v>
      </c>
      <c r="H103" s="4">
        <f t="shared" ca="1" si="117"/>
        <v>2313.6715535315852</v>
      </c>
      <c r="I103" s="4">
        <f t="shared" ca="1" si="117"/>
        <v>2090.3850592209342</v>
      </c>
      <c r="J103" s="4">
        <f t="shared" ca="1" si="117"/>
        <v>1918.6452570162746</v>
      </c>
      <c r="K103" s="4">
        <f t="shared" ca="1" si="117"/>
        <v>1781.6976587893537</v>
      </c>
      <c r="L103" s="4">
        <f t="shared" ca="1" si="117"/>
        <v>1669.4381446937755</v>
      </c>
      <c r="M103" s="4">
        <f t="shared" ca="1" si="117"/>
        <v>1575.3917712094874</v>
      </c>
      <c r="N103" s="4">
        <f t="shared" ca="1" si="117"/>
        <v>1495.2063272226535</v>
      </c>
      <c r="P103" s="13"/>
      <c r="Q103">
        <f t="shared" si="111"/>
        <v>5</v>
      </c>
      <c r="R103" s="4" t="str">
        <f t="shared" ref="R103:AC103" ca="1" si="118">IF(OR(R74="    batt!",R74="   mOC!",R74="    mop!"),R74,1.052*SQRT(($H$5+$M$5+(R$69*$Q74*$C$7+$U$67)/4)*9.8/1000/$M$8/1.225/($M$4/1000)^4)*60/($U$96/100)/(R$69*$C$5-R45-((R$69*$C$5-R45)-((R$69*$C$5-R45)^2-4*R20*($H$4+2*($H$10+$H$11))/1000)^(1/2))/2))</f>
        <v xml:space="preserve">    batt!</v>
      </c>
      <c r="S103" s="4">
        <f t="shared" ca="1" si="118"/>
        <v>8108.948281250975</v>
      </c>
      <c r="T103" s="4">
        <f t="shared" ca="1" si="118"/>
        <v>5796.7009842499156</v>
      </c>
      <c r="U103" s="4" t="str">
        <f t="shared" ca="1" si="118"/>
        <v xml:space="preserve">   mOC!</v>
      </c>
      <c r="V103" s="4" t="str">
        <f t="shared" ca="1" si="118"/>
        <v xml:space="preserve">   mOC!</v>
      </c>
      <c r="W103" s="4" t="str">
        <f t="shared" ca="1" si="118"/>
        <v xml:space="preserve">   mOC!</v>
      </c>
      <c r="X103" s="4" t="str">
        <f t="shared" ca="1" si="118"/>
        <v xml:space="preserve">   mOC!</v>
      </c>
      <c r="Y103" s="4" t="str">
        <f t="shared" ca="1" si="118"/>
        <v xml:space="preserve">   mOC!</v>
      </c>
      <c r="Z103" s="4" t="str">
        <f t="shared" ca="1" si="118"/>
        <v xml:space="preserve">   mOC!</v>
      </c>
      <c r="AA103" s="4" t="str">
        <f t="shared" ca="1" si="118"/>
        <v xml:space="preserve">   mOC!</v>
      </c>
      <c r="AB103" s="4" t="str">
        <f t="shared" ca="1" si="118"/>
        <v xml:space="preserve">   mOC!</v>
      </c>
      <c r="AC103" s="4" t="str">
        <f t="shared" ca="1" si="118"/>
        <v xml:space="preserve">   mOC!</v>
      </c>
    </row>
    <row r="104" spans="1:29" x14ac:dyDescent="0.25">
      <c r="A104" s="15"/>
      <c r="B104">
        <f t="shared" si="109"/>
        <v>350</v>
      </c>
      <c r="C104" s="4" t="str">
        <f t="shared" ref="C104:N104" ca="1" si="119">IF(OR(C75="    batt!",C75="   mOC!",C75="    mop!"),C75,1.052*SQRT(($H$5+$M$5+(C$69*$F$67*$C$7+$B75)/4)*9.8/1000/$M$8/1.225/($M$4/1000)^4)*60/($F$96/100)/(C$69*$C$5-C46-((C$69*$C$5-C46)-((C$69*$C$5-C46)^2-4*C21*($H$4+2*($H$10+$H$11))/1000)^(1/2))/2))</f>
        <v xml:space="preserve">    batt!</v>
      </c>
      <c r="D104" s="4" t="str">
        <f t="shared" ca="1" si="119"/>
        <v xml:space="preserve">    batt!</v>
      </c>
      <c r="E104" s="4">
        <f t="shared" ca="1" si="119"/>
        <v>3921.9891837324512</v>
      </c>
      <c r="F104" s="4">
        <f t="shared" ca="1" si="119"/>
        <v>3150.0662237418564</v>
      </c>
      <c r="G104" s="4">
        <f t="shared" ca="1" si="119"/>
        <v>2681.0490593519448</v>
      </c>
      <c r="H104" s="4">
        <f t="shared" ca="1" si="119"/>
        <v>2362.3631052364635</v>
      </c>
      <c r="I104" s="4">
        <f t="shared" ca="1" si="119"/>
        <v>2129.7822744156979</v>
      </c>
      <c r="J104" s="4">
        <f t="shared" ca="1" si="119"/>
        <v>1951.4010484394737</v>
      </c>
      <c r="K104" s="4">
        <f t="shared" ca="1" si="119"/>
        <v>1809.5061264350938</v>
      </c>
      <c r="L104" s="4">
        <f t="shared" ca="1" si="119"/>
        <v>1693.4407586140296</v>
      </c>
      <c r="M104" s="4">
        <f t="shared" ca="1" si="119"/>
        <v>1596.3904725663274</v>
      </c>
      <c r="N104" s="4">
        <f t="shared" ca="1" si="119"/>
        <v>1513.7837462153361</v>
      </c>
      <c r="P104" s="13"/>
      <c r="Q104">
        <f t="shared" si="111"/>
        <v>6</v>
      </c>
      <c r="R104" s="4" t="str">
        <f t="shared" ref="R104:AC104" ca="1" si="120">IF(OR(R75="    batt!",R75="   mOC!",R75="    mop!"),R75,1.052*SQRT(($H$5+$M$5+(R$69*$Q75*$C$7+$U$67)/4)*9.8/1000/$M$8/1.225/($M$4/1000)^4)*60/($U$96/100)/(R$69*$C$5-R46-((R$69*$C$5-R46)-((R$69*$C$5-R46)^2-4*R21*($H$4+2*($H$10+$H$11))/1000)^(1/2))/2))</f>
        <v xml:space="preserve">    batt!</v>
      </c>
      <c r="S104" s="4" t="str">
        <f t="shared" ca="1" si="120"/>
        <v xml:space="preserve">   mOC!</v>
      </c>
      <c r="T104" s="4" t="str">
        <f t="shared" ca="1" si="120"/>
        <v xml:space="preserve">   mOC!</v>
      </c>
      <c r="U104" s="4" t="str">
        <f t="shared" ca="1" si="120"/>
        <v xml:space="preserve">   mOC!</v>
      </c>
      <c r="V104" s="4" t="str">
        <f t="shared" ca="1" si="120"/>
        <v xml:space="preserve">   mOC!</v>
      </c>
      <c r="W104" s="4" t="str">
        <f t="shared" ca="1" si="120"/>
        <v xml:space="preserve">   mOC!</v>
      </c>
      <c r="X104" s="4" t="str">
        <f t="shared" ca="1" si="120"/>
        <v xml:space="preserve">   mOC!</v>
      </c>
      <c r="Y104" s="4" t="str">
        <f t="shared" ca="1" si="120"/>
        <v xml:space="preserve">   mOC!</v>
      </c>
      <c r="Z104" s="4" t="str">
        <f t="shared" ca="1" si="120"/>
        <v xml:space="preserve">   mOC!</v>
      </c>
      <c r="AA104" s="4" t="str">
        <f t="shared" ca="1" si="120"/>
        <v xml:space="preserve">   mOC!</v>
      </c>
      <c r="AB104" s="4" t="str">
        <f t="shared" ca="1" si="120"/>
        <v xml:space="preserve">   mOC!</v>
      </c>
      <c r="AC104" s="4" t="str">
        <f t="shared" ca="1" si="120"/>
        <v xml:space="preserve">   mOC!</v>
      </c>
    </row>
    <row r="105" spans="1:29" x14ac:dyDescent="0.25">
      <c r="A105" s="15"/>
      <c r="B105">
        <f t="shared" si="109"/>
        <v>400</v>
      </c>
      <c r="C105" s="4" t="str">
        <f t="shared" ref="C105:N105" ca="1" si="121">IF(OR(C76="    batt!",C76="   mOC!",C76="    mop!"),C76,1.052*SQRT(($H$5+$M$5+(C$69*$F$67*$C$7+$B76)/4)*9.8/1000/$M$8/1.225/($M$4/1000)^4)*60/($F$96/100)/(C$69*$C$5-C47-((C$69*$C$5-C47)-((C$69*$C$5-C47)^2-4*C22*($H$4+2*($H$10+$H$11))/1000)^(1/2))/2))</f>
        <v xml:space="preserve">    batt!</v>
      </c>
      <c r="D105" s="4" t="str">
        <f t="shared" ca="1" si="121"/>
        <v xml:space="preserve">    batt!</v>
      </c>
      <c r="E105" s="4">
        <f t="shared" ca="1" si="121"/>
        <v>4044.3099404751779</v>
      </c>
      <c r="F105" s="4">
        <f t="shared" ca="1" si="121"/>
        <v>3233.0111083373349</v>
      </c>
      <c r="G105" s="4">
        <f t="shared" ca="1" si="121"/>
        <v>2742.4207726705804</v>
      </c>
      <c r="H105" s="4">
        <f t="shared" ca="1" si="121"/>
        <v>2410.2835696286584</v>
      </c>
      <c r="I105" s="4">
        <f t="shared" ca="1" si="121"/>
        <v>2168.6064306667263</v>
      </c>
      <c r="J105" s="4">
        <f t="shared" ca="1" si="121"/>
        <v>1983.7176176432383</v>
      </c>
      <c r="K105" s="4">
        <f t="shared" ca="1" si="121"/>
        <v>1836.9693566078295</v>
      </c>
      <c r="L105" s="4">
        <f t="shared" ca="1" si="121"/>
        <v>1717.1662747530258</v>
      </c>
      <c r="M105" s="4">
        <f t="shared" ca="1" si="121"/>
        <v>1617.1628199640847</v>
      </c>
      <c r="N105" s="4">
        <f t="shared" ca="1" si="121"/>
        <v>1532.1734699048488</v>
      </c>
      <c r="P105" s="13"/>
      <c r="Q105">
        <f t="shared" si="111"/>
        <v>7</v>
      </c>
      <c r="R105" s="4" t="e">
        <f t="shared" ref="R105:AC105" ca="1" si="122">IF(OR(R76="    batt!",R76="   mOC!",R76="    mop!"),R76,1.052*SQRT(($H$5+$M$5+(R$69*$Q76*$C$7+$U$67)/4)*9.8/1000/$M$8/1.225/($M$4/1000)^4)*60/($U$96/100)/(R$69*$C$5-R47-((R$69*$C$5-R47)-((R$69*$C$5-R47)^2-4*R22*($H$4+2*($H$10+$H$11))/1000)^(1/2))/2))</f>
        <v>#NUM!</v>
      </c>
      <c r="S105" s="4" t="str">
        <f t="shared" ca="1" si="122"/>
        <v xml:space="preserve">   mOC!</v>
      </c>
      <c r="T105" s="4" t="str">
        <f t="shared" ca="1" si="122"/>
        <v xml:space="preserve">   mOC!</v>
      </c>
      <c r="U105" s="4" t="str">
        <f t="shared" ca="1" si="122"/>
        <v xml:space="preserve">   mOC!</v>
      </c>
      <c r="V105" s="4" t="str">
        <f t="shared" ca="1" si="122"/>
        <v xml:space="preserve">   mOC!</v>
      </c>
      <c r="W105" s="4" t="str">
        <f t="shared" ca="1" si="122"/>
        <v xml:space="preserve">   mOC!</v>
      </c>
      <c r="X105" s="4" t="str">
        <f t="shared" ca="1" si="122"/>
        <v xml:space="preserve">   mOC!</v>
      </c>
      <c r="Y105" s="4" t="str">
        <f t="shared" ca="1" si="122"/>
        <v xml:space="preserve">   mOC!</v>
      </c>
      <c r="Z105" s="4" t="str">
        <f t="shared" ca="1" si="122"/>
        <v xml:space="preserve">   mOC!</v>
      </c>
      <c r="AA105" s="4" t="str">
        <f t="shared" ca="1" si="122"/>
        <v xml:space="preserve">   mOC!</v>
      </c>
      <c r="AB105" s="4" t="str">
        <f t="shared" ca="1" si="122"/>
        <v xml:space="preserve">   mOC!</v>
      </c>
      <c r="AC105" s="4" t="str">
        <f t="shared" ca="1" si="122"/>
        <v xml:space="preserve">   mOC!</v>
      </c>
    </row>
    <row r="106" spans="1:29" x14ac:dyDescent="0.25">
      <c r="A106" s="15"/>
      <c r="B106">
        <f t="shared" si="109"/>
        <v>450</v>
      </c>
      <c r="C106" s="4" t="str">
        <f t="shared" ref="C106:N106" ca="1" si="123">IF(OR(C77="    batt!",C77="   mOC!",C77="    mop!"),C77,1.052*SQRT(($H$5+$M$5+(C$69*$F$67*$C$7+$B77)/4)*9.8/1000/$M$8/1.225/($M$4/1000)^4)*60/($F$96/100)/(C$69*$C$5-C48-((C$69*$C$5-C48)-((C$69*$C$5-C48)^2-4*C23*($H$4+2*($H$10+$H$11))/1000)^(1/2))/2))</f>
        <v xml:space="preserve">    batt!</v>
      </c>
      <c r="D106" s="4" t="str">
        <f t="shared" ca="1" si="123"/>
        <v xml:space="preserve">    batt!</v>
      </c>
      <c r="E106" s="4">
        <f t="shared" ca="1" si="123"/>
        <v>4164.4912764230858</v>
      </c>
      <c r="F106" s="4">
        <f t="shared" ca="1" si="123"/>
        <v>3314.5198813783786</v>
      </c>
      <c r="G106" s="4">
        <f t="shared" ca="1" si="123"/>
        <v>2802.7960063270457</v>
      </c>
      <c r="H106" s="4">
        <f t="shared" ca="1" si="123"/>
        <v>2457.4836504822069</v>
      </c>
      <c r="I106" s="4">
        <f t="shared" ca="1" si="123"/>
        <v>2206.8910847531697</v>
      </c>
      <c r="J106" s="4">
        <f t="shared" ca="1" si="123"/>
        <v>2015.6182079183079</v>
      </c>
      <c r="K106" s="4">
        <f t="shared" ca="1" si="123"/>
        <v>1864.1040407465691</v>
      </c>
      <c r="L106" s="4">
        <f t="shared" ca="1" si="123"/>
        <v>1740.6270375053448</v>
      </c>
      <c r="M106" s="4">
        <f t="shared" ca="1" si="123"/>
        <v>1637.7181692978209</v>
      </c>
      <c r="N106" s="4">
        <f t="shared" ca="1" si="123"/>
        <v>1550.3827377912285</v>
      </c>
      <c r="P106" s="13"/>
      <c r="Q106">
        <f t="shared" si="111"/>
        <v>8</v>
      </c>
      <c r="R106" s="4" t="e">
        <f t="shared" ref="R106:AC106" ca="1" si="124">IF(OR(R77="    batt!",R77="   mOC!",R77="    mop!"),R77,1.052*SQRT(($H$5+$M$5+(R$69*$Q77*$C$7+$U$67)/4)*9.8/1000/$M$8/1.225/($M$4/1000)^4)*60/($U$96/100)/(R$69*$C$5-R48-((R$69*$C$5-R48)-((R$69*$C$5-R48)^2-4*R23*($H$4+2*($H$10+$H$11))/1000)^(1/2))/2))</f>
        <v>#NUM!</v>
      </c>
      <c r="S106" s="4" t="str">
        <f t="shared" ca="1" si="124"/>
        <v xml:space="preserve">   mOC!</v>
      </c>
      <c r="T106" s="4" t="str">
        <f t="shared" ca="1" si="124"/>
        <v xml:space="preserve">   mOC!</v>
      </c>
      <c r="U106" s="4" t="str">
        <f t="shared" ca="1" si="124"/>
        <v xml:space="preserve">   mOC!</v>
      </c>
      <c r="V106" s="4" t="str">
        <f t="shared" ca="1" si="124"/>
        <v xml:space="preserve">   mOC!</v>
      </c>
      <c r="W106" s="4" t="str">
        <f t="shared" ca="1" si="124"/>
        <v xml:space="preserve">   mOC!</v>
      </c>
      <c r="X106" s="4" t="str">
        <f t="shared" ca="1" si="124"/>
        <v xml:space="preserve">   mOC!</v>
      </c>
      <c r="Y106" s="4" t="str">
        <f t="shared" ca="1" si="124"/>
        <v xml:space="preserve">   mOC!</v>
      </c>
      <c r="Z106" s="4" t="str">
        <f t="shared" ca="1" si="124"/>
        <v xml:space="preserve">   mOC!</v>
      </c>
      <c r="AA106" s="4" t="str">
        <f t="shared" ca="1" si="124"/>
        <v xml:space="preserve">   mOC!</v>
      </c>
      <c r="AB106" s="4" t="str">
        <f t="shared" ca="1" si="124"/>
        <v xml:space="preserve">   mOC!</v>
      </c>
      <c r="AC106" s="4" t="str">
        <f t="shared" ca="1" si="124"/>
        <v xml:space="preserve">   mOC!</v>
      </c>
    </row>
    <row r="107" spans="1:29" x14ac:dyDescent="0.25">
      <c r="A107" s="15"/>
      <c r="B107">
        <f t="shared" si="109"/>
        <v>500</v>
      </c>
      <c r="C107" s="4" t="str">
        <f t="shared" ref="C107:N107" ca="1" si="125">IF(OR(C78="    batt!",C78="   mOC!",C78="    mop!"),C78,1.052*SQRT(($H$5+$M$5+(C$69*$F$67*$C$7+$B78)/4)*9.8/1000/$M$8/1.225/($M$4/1000)^4)*60/($F$96/100)/(C$69*$C$5-C49-((C$69*$C$5-C49)-((C$69*$C$5-C49)^2-4*C24*($H$4+2*($H$10+$H$11))/1000)^(1/2))/2))</f>
        <v xml:space="preserve">    batt!</v>
      </c>
      <c r="D107" s="4" t="str">
        <f t="shared" ca="1" si="125"/>
        <v xml:space="preserve">    batt!</v>
      </c>
      <c r="E107" s="4">
        <f t="shared" ca="1" si="125"/>
        <v>4282.781595594498</v>
      </c>
      <c r="F107" s="4">
        <f t="shared" ca="1" si="125"/>
        <v>3394.7191182833089</v>
      </c>
      <c r="G107" s="4">
        <f t="shared" ca="1" si="125"/>
        <v>2862.2482215786326</v>
      </c>
      <c r="H107" s="4">
        <f t="shared" ca="1" si="125"/>
        <v>2504.0096066655301</v>
      </c>
      <c r="I107" s="4">
        <f t="shared" ca="1" si="125"/>
        <v>2244.6671091844692</v>
      </c>
      <c r="J107" s="4">
        <f t="shared" ca="1" si="125"/>
        <v>2047.1243545331154</v>
      </c>
      <c r="K107" s="4">
        <f t="shared" ca="1" si="125"/>
        <v>1890.925736575439</v>
      </c>
      <c r="L107" s="4">
        <f t="shared" ca="1" si="125"/>
        <v>1763.834612045174</v>
      </c>
      <c r="M107" s="4">
        <f t="shared" ca="1" si="125"/>
        <v>1658.0653249613083</v>
      </c>
      <c r="N107" s="4">
        <f t="shared" ca="1" si="125"/>
        <v>1568.4183891634077</v>
      </c>
      <c r="P107" s="13"/>
      <c r="Q107">
        <v>9</v>
      </c>
      <c r="R107" s="4" t="e">
        <f t="shared" ref="R107:AC107" ca="1" si="126">IF(OR(R78="    batt!",R78="   mOC!",R78="    mop!"),R78,1.052*SQRT(($H$5+$M$5+(R$69*$Q78*$C$7+$U$67)/4)*9.8/1000/$M$8/1.225/($M$4/1000)^4)*60/($U$96/100)/(R$69*$C$5-R49-((R$69*$C$5-R49)-((R$69*$C$5-R49)^2-4*R24*($H$4+2*($H$10+$H$11))/1000)^(1/2))/2))</f>
        <v>#NUM!</v>
      </c>
      <c r="S107" s="4" t="str">
        <f t="shared" ca="1" si="126"/>
        <v xml:space="preserve">   mOC!</v>
      </c>
      <c r="T107" s="4" t="str">
        <f t="shared" ca="1" si="126"/>
        <v xml:space="preserve">   mOC!</v>
      </c>
      <c r="U107" s="4" t="str">
        <f t="shared" ca="1" si="126"/>
        <v xml:space="preserve">   mOC!</v>
      </c>
      <c r="V107" s="4" t="str">
        <f t="shared" ca="1" si="126"/>
        <v xml:space="preserve">   mOC!</v>
      </c>
      <c r="W107" s="4" t="str">
        <f t="shared" ca="1" si="126"/>
        <v xml:space="preserve">   mOC!</v>
      </c>
      <c r="X107" s="4" t="str">
        <f t="shared" ca="1" si="126"/>
        <v xml:space="preserve">   mOC!</v>
      </c>
      <c r="Y107" s="4" t="str">
        <f t="shared" ca="1" si="126"/>
        <v xml:space="preserve">   mOC!</v>
      </c>
      <c r="Z107" s="4" t="str">
        <f t="shared" ca="1" si="126"/>
        <v xml:space="preserve">   mOC!</v>
      </c>
      <c r="AA107" s="4" t="str">
        <f t="shared" ca="1" si="126"/>
        <v xml:space="preserve">   mOC!</v>
      </c>
      <c r="AB107" s="4" t="str">
        <f t="shared" ca="1" si="126"/>
        <v xml:space="preserve">   mOC!</v>
      </c>
      <c r="AC107" s="4" t="str">
        <f t="shared" ca="1" si="126"/>
        <v xml:space="preserve">   mOC!</v>
      </c>
    </row>
    <row r="108" spans="1:29" x14ac:dyDescent="0.25">
      <c r="A108" s="15"/>
      <c r="B108">
        <f t="shared" si="109"/>
        <v>550</v>
      </c>
      <c r="C108" s="4" t="str">
        <f t="shared" ref="C108:N108" ca="1" si="127">IF(OR(C79="    batt!",C79="   mOC!",C79="    mop!"),C79,1.052*SQRT(($H$5+$M$5+(C$69*$F$67*$C$7+$B79)/4)*9.8/1000/$M$8/1.225/($M$4/1000)^4)*60/($F$96/100)/(C$69*$C$5-C50-((C$69*$C$5-C50)-((C$69*$C$5-C50)^2-4*C25*($H$4+2*($H$10+$H$11))/1000)^(1/2))/2))</f>
        <v xml:space="preserve">    batt!</v>
      </c>
      <c r="D108" s="4" t="str">
        <f t="shared" ca="1" si="127"/>
        <v xml:space="preserve">    batt!</v>
      </c>
      <c r="E108" s="4" t="str">
        <f t="shared" ca="1" si="127"/>
        <v xml:space="preserve">    batt!</v>
      </c>
      <c r="F108" s="4">
        <f t="shared" ca="1" si="127"/>
        <v>3473.7225324221231</v>
      </c>
      <c r="G108" s="4">
        <f t="shared" ca="1" si="127"/>
        <v>2920.8440825667676</v>
      </c>
      <c r="H108" s="4">
        <f t="shared" ca="1" si="127"/>
        <v>2549.9037959668653</v>
      </c>
      <c r="I108" s="4">
        <f t="shared" ca="1" si="127"/>
        <v>2281.9629910545318</v>
      </c>
      <c r="J108" s="4">
        <f t="shared" ca="1" si="127"/>
        <v>2078.2560592605059</v>
      </c>
      <c r="K108" s="4">
        <f t="shared" ca="1" si="127"/>
        <v>1917.4489751663809</v>
      </c>
      <c r="L108" s="4">
        <f t="shared" ca="1" si="127"/>
        <v>1786.7998527349705</v>
      </c>
      <c r="M108" s="4">
        <f t="shared" ca="1" si="127"/>
        <v>1678.2125850845373</v>
      </c>
      <c r="N108" s="4">
        <f t="shared" ca="1" si="127"/>
        <v>1586.2868939054956</v>
      </c>
      <c r="P108" s="13"/>
      <c r="Q108">
        <v>10</v>
      </c>
      <c r="R108" s="4" t="e">
        <f t="shared" ref="R108:AC108" ca="1" si="128">IF(OR(R79="    batt!",R79="   mOC!",R79="    mop!"),R79,1.052*SQRT(($H$5+$M$5+(R$69*$Q79*$C$7+$U$67)/4)*9.8/1000/$M$8/1.225/($M$4/1000)^4)*60/($U$96/100)/(R$69*$C$5-R50-((R$69*$C$5-R50)-((R$69*$C$5-R50)^2-4*R25*($H$4+2*($H$10+$H$11))/1000)^(1/2))/2))</f>
        <v>#NUM!</v>
      </c>
      <c r="S108" s="4" t="str">
        <f t="shared" ca="1" si="128"/>
        <v xml:space="preserve">   mOC!</v>
      </c>
      <c r="T108" s="4" t="str">
        <f t="shared" ca="1" si="128"/>
        <v xml:space="preserve">   mOC!</v>
      </c>
      <c r="U108" s="4" t="str">
        <f t="shared" ca="1" si="128"/>
        <v xml:space="preserve">   mOC!</v>
      </c>
      <c r="V108" s="4" t="str">
        <f t="shared" ca="1" si="128"/>
        <v xml:space="preserve">   mOC!</v>
      </c>
      <c r="W108" s="4" t="str">
        <f t="shared" ca="1" si="128"/>
        <v xml:space="preserve">   mOC!</v>
      </c>
      <c r="X108" s="4" t="str">
        <f t="shared" ca="1" si="128"/>
        <v xml:space="preserve">   mOC!</v>
      </c>
      <c r="Y108" s="4" t="str">
        <f t="shared" ca="1" si="128"/>
        <v xml:space="preserve">   mOC!</v>
      </c>
      <c r="Z108" s="4" t="str">
        <f t="shared" ca="1" si="128"/>
        <v xml:space="preserve">   mOC!</v>
      </c>
      <c r="AA108" s="4" t="str">
        <f t="shared" ca="1" si="128"/>
        <v xml:space="preserve">   mOC!</v>
      </c>
      <c r="AB108" s="4" t="str">
        <f t="shared" ca="1" si="128"/>
        <v xml:space="preserve">   mOC!</v>
      </c>
      <c r="AC108" s="4" t="str">
        <f t="shared" ca="1" si="128"/>
        <v xml:space="preserve">    batt!</v>
      </c>
    </row>
    <row r="109" spans="1:29" x14ac:dyDescent="0.25">
      <c r="A109" s="15"/>
      <c r="B109">
        <f t="shared" si="109"/>
        <v>600</v>
      </c>
      <c r="C109" s="4" t="str">
        <f t="shared" ref="C109:N109" ca="1" si="129">IF(OR(C80="    batt!",C80="   mOC!",C80="    mop!"),C80,1.052*SQRT(($H$5+$M$5+(C$69*$F$67*$C$7+$B80)/4)*9.8/1000/$M$8/1.225/($M$4/1000)^4)*60/($F$96/100)/(C$69*$C$5-C51-((C$69*$C$5-C51)-((C$69*$C$5-C51)^2-4*C26*($H$4+2*($H$10+$H$11))/1000)^(1/2))/2))</f>
        <v xml:space="preserve">    batt!</v>
      </c>
      <c r="D109" s="4" t="str">
        <f t="shared" ca="1" si="129"/>
        <v xml:space="preserve">    batt!</v>
      </c>
      <c r="E109" s="4" t="str">
        <f t="shared" ca="1" si="129"/>
        <v xml:space="preserve">    batt!</v>
      </c>
      <c r="F109" s="4">
        <f t="shared" ca="1" si="129"/>
        <v>3551.6328735532279</v>
      </c>
      <c r="G109" s="4">
        <f t="shared" ca="1" si="129"/>
        <v>2978.6443476808904</v>
      </c>
      <c r="H109" s="4">
        <f t="shared" ca="1" si="129"/>
        <v>2595.205136902277</v>
      </c>
      <c r="I109" s="4">
        <f t="shared" ca="1" si="129"/>
        <v>2318.8050896831128</v>
      </c>
      <c r="J109" s="4">
        <f t="shared" ca="1" si="129"/>
        <v>2109.0319427370746</v>
      </c>
      <c r="K109" s="4">
        <f t="shared" ca="1" si="129"/>
        <v>1943.687355399016</v>
      </c>
      <c r="L109" s="4">
        <f t="shared" ca="1" si="129"/>
        <v>1809.5329640309503</v>
      </c>
      <c r="M109" s="4">
        <f t="shared" ca="1" si="129"/>
        <v>1698.1677821265093</v>
      </c>
      <c r="N109" s="4">
        <f t="shared" ca="1" si="129"/>
        <v>1603.9943803300232</v>
      </c>
      <c r="P109" s="13"/>
      <c r="Q109">
        <v>11</v>
      </c>
      <c r="R109" s="4" t="e">
        <f t="shared" ref="R109:AC109" ca="1" si="130">IF(OR(R80="    batt!",R80="   mOC!",R80="    mop!"),R80,1.052*SQRT(($H$5+$M$5+(R$69*$Q80*$C$7+$U$67)/4)*9.8/1000/$M$8/1.225/($M$4/1000)^4)*60/($U$96/100)/(R$69*$C$5-R51-((R$69*$C$5-R51)-((R$69*$C$5-R51)^2-4*R26*($H$4+2*($H$10+$H$11))/1000)^(1/2))/2))</f>
        <v>#NUM!</v>
      </c>
      <c r="S109" s="4" t="str">
        <f t="shared" ca="1" si="130"/>
        <v xml:space="preserve">   mOC!</v>
      </c>
      <c r="T109" s="4" t="str">
        <f t="shared" ca="1" si="130"/>
        <v xml:space="preserve">   mOC!</v>
      </c>
      <c r="U109" s="4" t="str">
        <f t="shared" ca="1" si="130"/>
        <v xml:space="preserve">   mOC!</v>
      </c>
      <c r="V109" s="4" t="str">
        <f t="shared" ca="1" si="130"/>
        <v xml:space="preserve">   mOC!</v>
      </c>
      <c r="W109" s="4" t="str">
        <f t="shared" ca="1" si="130"/>
        <v xml:space="preserve">   mOC!</v>
      </c>
      <c r="X109" s="4" t="str">
        <f t="shared" ca="1" si="130"/>
        <v xml:space="preserve">   mOC!</v>
      </c>
      <c r="Y109" s="4" t="str">
        <f t="shared" ca="1" si="130"/>
        <v xml:space="preserve">   mOC!</v>
      </c>
      <c r="Z109" s="4" t="str">
        <f t="shared" ca="1" si="130"/>
        <v xml:space="preserve">   mOC!</v>
      </c>
      <c r="AA109" s="4" t="str">
        <f t="shared" ca="1" si="130"/>
        <v xml:space="preserve">    batt!</v>
      </c>
      <c r="AB109" s="4" t="str">
        <f t="shared" ca="1" si="130"/>
        <v xml:space="preserve">    batt!</v>
      </c>
      <c r="AC109" s="4" t="str">
        <f t="shared" ca="1" si="130"/>
        <v xml:space="preserve">    batt!</v>
      </c>
    </row>
    <row r="110" spans="1:29" x14ac:dyDescent="0.25">
      <c r="A110" s="15"/>
      <c r="B110">
        <f t="shared" si="109"/>
        <v>650</v>
      </c>
      <c r="C110" s="4" t="str">
        <f t="shared" ref="C110:N110" ca="1" si="131">IF(OR(C81="    batt!",C81="   mOC!",C81="    mop!"),C81,1.052*SQRT(($H$5+$M$5+(C$69*$F$67*$C$7+$B81)/4)*9.8/1000/$M$8/1.225/($M$4/1000)^4)*60/($F$96/100)/(C$69*$C$5-C52-((C$69*$C$5-C52)-((C$69*$C$5-C52)^2-4*C27*($H$4+2*($H$10+$H$11))/1000)^(1/2))/2))</f>
        <v xml:space="preserve">    batt!</v>
      </c>
      <c r="D110" s="4" t="str">
        <f t="shared" ca="1" si="131"/>
        <v xml:space="preserve">    batt!</v>
      </c>
      <c r="E110" s="4" t="str">
        <f t="shared" ca="1" si="131"/>
        <v xml:space="preserve">    batt!</v>
      </c>
      <c r="F110" s="4">
        <f t="shared" ca="1" si="131"/>
        <v>3628.5434890374599</v>
      </c>
      <c r="G110" s="4">
        <f t="shared" ca="1" si="131"/>
        <v>3035.7046180265693</v>
      </c>
      <c r="H110" s="4">
        <f t="shared" ca="1" si="131"/>
        <v>2639.9495031577094</v>
      </c>
      <c r="I110" s="4">
        <f t="shared" ca="1" si="131"/>
        <v>2355.2178597917718</v>
      </c>
      <c r="J110" s="4">
        <f t="shared" ca="1" si="131"/>
        <v>2139.4693780048124</v>
      </c>
      <c r="K110" s="4">
        <f t="shared" ca="1" si="131"/>
        <v>1969.6536275858966</v>
      </c>
      <c r="L110" s="4">
        <f t="shared" ca="1" si="131"/>
        <v>1832.0435548678977</v>
      </c>
      <c r="M110" s="4">
        <f t="shared" ca="1" si="131"/>
        <v>1717.9383193934789</v>
      </c>
      <c r="N110" s="4">
        <f t="shared" ca="1" si="131"/>
        <v>1621.5466603816283</v>
      </c>
      <c r="P110" s="13"/>
      <c r="Q110">
        <v>12</v>
      </c>
      <c r="R110" s="4" t="e">
        <f t="shared" ref="R110:AC110" ca="1" si="132">IF(OR(R81="    batt!",R81="   mOC!",R81="    mop!"),R81,1.052*SQRT(($H$5+$M$5+(R$69*$Q81*$C$7+$U$67)/4)*9.8/1000/$M$8/1.225/($M$4/1000)^4)*60/($U$96/100)/(R$69*$C$5-R52-((R$69*$C$5-R52)-((R$69*$C$5-R52)^2-4*R27*($H$4+2*($H$10+$H$11))/1000)^(1/2))/2))</f>
        <v>#NUM!</v>
      </c>
      <c r="S110" s="4" t="str">
        <f t="shared" ca="1" si="132"/>
        <v xml:space="preserve">   mOC!</v>
      </c>
      <c r="T110" s="4" t="str">
        <f t="shared" ca="1" si="132"/>
        <v xml:space="preserve">   mOC!</v>
      </c>
      <c r="U110" s="4" t="str">
        <f t="shared" ca="1" si="132"/>
        <v xml:space="preserve">   mOC!</v>
      </c>
      <c r="V110" s="4" t="str">
        <f t="shared" ca="1" si="132"/>
        <v xml:space="preserve">   mOC!</v>
      </c>
      <c r="W110" s="4" t="str">
        <f t="shared" ca="1" si="132"/>
        <v xml:space="preserve">   mOC!</v>
      </c>
      <c r="X110" s="4" t="str">
        <f t="shared" ca="1" si="132"/>
        <v xml:space="preserve">   mOC!</v>
      </c>
      <c r="Y110" s="4" t="str">
        <f t="shared" ca="1" si="132"/>
        <v xml:space="preserve">   mOC!</v>
      </c>
      <c r="Z110" s="4" t="str">
        <f t="shared" ca="1" si="132"/>
        <v xml:space="preserve">    batt!</v>
      </c>
      <c r="AA110" s="4" t="str">
        <f t="shared" ca="1" si="132"/>
        <v xml:space="preserve">    batt!</v>
      </c>
      <c r="AB110" s="4" t="str">
        <f t="shared" ca="1" si="132"/>
        <v xml:space="preserve">    batt!</v>
      </c>
      <c r="AC110" s="4" t="str">
        <f t="shared" ca="1" si="132"/>
        <v xml:space="preserve">    batt!</v>
      </c>
    </row>
    <row r="111" spans="1:29" x14ac:dyDescent="0.25">
      <c r="A111" s="15"/>
      <c r="B111">
        <f t="shared" si="109"/>
        <v>700</v>
      </c>
      <c r="C111" s="4" t="str">
        <f t="shared" ref="C111:N111" ca="1" si="133">IF(OR(C82="    batt!",C82="   mOC!",C82="    mop!"),C82,1.052*SQRT(($H$5+$M$5+(C$69*$F$67*$C$7+$B82)/4)*9.8/1000/$M$8/1.225/($M$4/1000)^4)*60/($F$96/100)/(C$69*$C$5-C53-((C$69*$C$5-C53)-((C$69*$C$5-C53)^2-4*C28*($H$4+2*($H$10+$H$11))/1000)^(1/2))/2))</f>
        <v xml:space="preserve">    batt!</v>
      </c>
      <c r="D111" s="4" t="str">
        <f t="shared" ca="1" si="133"/>
        <v xml:space="preserve">    batt!</v>
      </c>
      <c r="E111" s="4" t="str">
        <f t="shared" ca="1" si="133"/>
        <v xml:space="preserve">    batt!</v>
      </c>
      <c r="F111" s="4" t="str">
        <f t="shared" ca="1" si="133"/>
        <v xml:space="preserve">    batt!</v>
      </c>
      <c r="G111" s="4">
        <f t="shared" ca="1" si="133"/>
        <v>3092.0759701229626</v>
      </c>
      <c r="H111" s="4">
        <f t="shared" ca="1" si="133"/>
        <v>2684.1700623215061</v>
      </c>
      <c r="I111" s="4">
        <f t="shared" ca="1" si="133"/>
        <v>2391.224045694199</v>
      </c>
      <c r="J111" s="4">
        <f t="shared" ca="1" si="133"/>
        <v>2169.5846080026167</v>
      </c>
      <c r="K111" s="4">
        <f t="shared" ca="1" si="133"/>
        <v>1995.3597677455334</v>
      </c>
      <c r="L111" s="4">
        <f t="shared" ca="1" si="133"/>
        <v>1854.3406873573135</v>
      </c>
      <c r="M111" s="4">
        <f t="shared" ca="1" si="133"/>
        <v>1737.5312039719126</v>
      </c>
      <c r="N111" s="4">
        <f t="shared" ca="1" si="133"/>
        <v>1638.9492525087546</v>
      </c>
    </row>
    <row r="112" spans="1:29" x14ac:dyDescent="0.25">
      <c r="A112" s="15"/>
      <c r="B112">
        <f t="shared" si="109"/>
        <v>750</v>
      </c>
      <c r="C112" s="4" t="str">
        <f t="shared" ref="C112:N112" ca="1" si="134">IF(OR(C83="    batt!",C83="   mOC!",C83="    mop!"),C83,1.052*SQRT(($H$5+$M$5+(C$69*$F$67*$C$7+$B83)/4)*9.8/1000/$M$8/1.225/($M$4/1000)^4)*60/($F$96/100)/(C$69*$C$5-C54-((C$69*$C$5-C54)-((C$69*$C$5-C54)^2-4*C29*($H$4+2*($H$10+$H$11))/1000)^(1/2))/2))</f>
        <v xml:space="preserve">    batt!</v>
      </c>
      <c r="D112" s="4" t="str">
        <f t="shared" ca="1" si="134"/>
        <v xml:space="preserve">    batt!</v>
      </c>
      <c r="E112" s="4" t="str">
        <f t="shared" ca="1" si="134"/>
        <v xml:space="preserve">    batt!</v>
      </c>
      <c r="F112" s="4" t="str">
        <f t="shared" ca="1" si="134"/>
        <v xml:space="preserve">    batt!</v>
      </c>
      <c r="G112" s="4">
        <f t="shared" ca="1" si="134"/>
        <v>3147.8054940772358</v>
      </c>
      <c r="H112" s="4">
        <f t="shared" ca="1" si="134"/>
        <v>2727.8975682537957</v>
      </c>
      <c r="I112" s="4">
        <f t="shared" ca="1" si="134"/>
        <v>2426.8448509801829</v>
      </c>
      <c r="J112" s="4">
        <f t="shared" ca="1" si="134"/>
        <v>2199.392849306797</v>
      </c>
      <c r="K112" s="4">
        <f t="shared" ca="1" si="134"/>
        <v>2020.8170437717029</v>
      </c>
      <c r="L112" s="4">
        <f t="shared" ca="1" si="134"/>
        <v>1876.4329205097106</v>
      </c>
      <c r="M112" s="4">
        <f t="shared" ca="1" si="134"/>
        <v>1756.9530764974977</v>
      </c>
      <c r="N112" s="4">
        <f t="shared" ca="1" si="134"/>
        <v>1656.2074024619046</v>
      </c>
    </row>
    <row r="113" spans="1:14" x14ac:dyDescent="0.25">
      <c r="A113" s="15"/>
      <c r="B113">
        <f t="shared" si="109"/>
        <v>800</v>
      </c>
      <c r="C113" s="4" t="str">
        <f t="shared" ref="C113:N113" ca="1" si="135">IF(OR(C84="    batt!",C84="   mOC!",C84="    mop!"),C84,1.052*SQRT(($H$5+$M$5+(C$69*$F$67*$C$7+$B84)/4)*9.8/1000/$M$8/1.225/($M$4/1000)^4)*60/($F$96/100)/(C$69*$C$5-C55-((C$69*$C$5-C55)-((C$69*$C$5-C55)^2-4*C30*($H$4+2*($H$10+$H$11))/1000)^(1/2))/2))</f>
        <v xml:space="preserve">    batt!</v>
      </c>
      <c r="D113" s="4" t="str">
        <f t="shared" ca="1" si="135"/>
        <v xml:space="preserve">    batt!</v>
      </c>
      <c r="E113" s="4" t="str">
        <f t="shared" ca="1" si="135"/>
        <v xml:space="preserve">    batt!</v>
      </c>
      <c r="F113" s="4" t="str">
        <f t="shared" ca="1" si="135"/>
        <v xml:space="preserve">    batt!</v>
      </c>
      <c r="G113" s="4" t="str">
        <f t="shared" ca="1" si="135"/>
        <v xml:space="preserve">    batt!</v>
      </c>
      <c r="H113" s="4">
        <f t="shared" ca="1" si="135"/>
        <v>2771.1606146418007</v>
      </c>
      <c r="I113" s="4">
        <f t="shared" ca="1" si="135"/>
        <v>2462.1000873770727</v>
      </c>
      <c r="J113" s="4">
        <f t="shared" ca="1" si="135"/>
        <v>2228.9083840404214</v>
      </c>
      <c r="K113" s="4">
        <f t="shared" ca="1" si="135"/>
        <v>2046.036074555275</v>
      </c>
      <c r="L113" s="4">
        <f t="shared" ca="1" si="135"/>
        <v>1898.3283495892194</v>
      </c>
      <c r="M113" s="4">
        <f t="shared" ca="1" si="135"/>
        <v>1776.2102381242198</v>
      </c>
      <c r="N113" s="4">
        <f t="shared" ca="1" si="135"/>
        <v>1673.3261022438273</v>
      </c>
    </row>
    <row r="114" spans="1:14" x14ac:dyDescent="0.25">
      <c r="A114" s="15"/>
      <c r="B114">
        <f t="shared" si="109"/>
        <v>850</v>
      </c>
      <c r="C114" s="4" t="e">
        <f t="shared" ref="C114:N114" ca="1" si="136">IF(OR(C85="    batt!",C85="   mOC!",C85="    mop!"),C85,1.052*SQRT(($H$5+$M$5+(C$69*$F$67*$C$7+$B85)/4)*9.8/1000/$M$8/1.225/($M$4/1000)^4)*60/($F$96/100)/(C$69*$C$5-C56-((C$69*$C$5-C56)-((C$69*$C$5-C56)^2-4*C31*($H$4+2*($H$10+$H$11))/1000)^(1/2))/2))</f>
        <v>#NUM!</v>
      </c>
      <c r="D114" s="4" t="str">
        <f t="shared" ca="1" si="136"/>
        <v xml:space="preserve">    batt!</v>
      </c>
      <c r="E114" s="4" t="str">
        <f t="shared" ca="1" si="136"/>
        <v xml:space="preserve">    batt!</v>
      </c>
      <c r="F114" s="4" t="str">
        <f t="shared" ca="1" si="136"/>
        <v xml:space="preserve">    batt!</v>
      </c>
      <c r="G114" s="4" t="str">
        <f t="shared" ca="1" si="136"/>
        <v xml:space="preserve">    batt!</v>
      </c>
      <c r="H114" s="4">
        <f t="shared" ca="1" si="136"/>
        <v>2813.9858558802434</v>
      </c>
      <c r="I114" s="4">
        <f t="shared" ca="1" si="136"/>
        <v>2497.0083058357941</v>
      </c>
      <c r="J114" s="4">
        <f t="shared" ca="1" si="136"/>
        <v>2258.1446415625387</v>
      </c>
      <c r="K114" s="4">
        <f t="shared" ca="1" si="136"/>
        <v>2071.0268829558991</v>
      </c>
      <c r="L114" s="4">
        <f t="shared" ca="1" si="136"/>
        <v>1920.034641622748</v>
      </c>
      <c r="M114" s="4">
        <f t="shared" ca="1" si="136"/>
        <v>1795.3086750090902</v>
      </c>
      <c r="N114" s="4">
        <f t="shared" ca="1" si="136"/>
        <v>1690.3101074086023</v>
      </c>
    </row>
    <row r="115" spans="1:14" x14ac:dyDescent="0.25">
      <c r="A115" s="15"/>
      <c r="B115">
        <f t="shared" si="109"/>
        <v>900</v>
      </c>
      <c r="C115" s="4" t="e">
        <f t="shared" ref="C115:N115" ca="1" si="137">IF(OR(C86="    batt!",C86="   mOC!",C86="    mop!"),C86,1.052*SQRT(($H$5+$M$5+(C$69*$F$67*$C$7+$B86)/4)*9.8/1000/$M$8/1.225/($M$4/1000)^4)*60/($F$96/100)/(C$69*$C$5-C57-((C$69*$C$5-C57)-((C$69*$C$5-C57)^2-4*C32*($H$4+2*($H$10+$H$11))/1000)^(1/2))/2))</f>
        <v>#NUM!</v>
      </c>
      <c r="D115" s="4" t="str">
        <f t="shared" ca="1" si="137"/>
        <v xml:space="preserve">    batt!</v>
      </c>
      <c r="E115" s="4" t="str">
        <f t="shared" ca="1" si="137"/>
        <v xml:space="preserve">    batt!</v>
      </c>
      <c r="F115" s="4" t="str">
        <f t="shared" ca="1" si="137"/>
        <v xml:space="preserve">    batt!</v>
      </c>
      <c r="G115" s="4" t="str">
        <f t="shared" ca="1" si="137"/>
        <v xml:space="preserve">    batt!</v>
      </c>
      <c r="H115" s="4" t="str">
        <f t="shared" ca="1" si="137"/>
        <v xml:space="preserve">    batt!</v>
      </c>
      <c r="I115" s="4">
        <f t="shared" ca="1" si="137"/>
        <v>2531.5869123754355</v>
      </c>
      <c r="J115" s="4">
        <f t="shared" ca="1" si="137"/>
        <v>2287.1142712953583</v>
      </c>
      <c r="K115" s="4">
        <f t="shared" ca="1" si="137"/>
        <v>2095.7989433889406</v>
      </c>
      <c r="L115" s="4">
        <f t="shared" ca="1" si="137"/>
        <v>1941.5590675137071</v>
      </c>
      <c r="M115" s="4">
        <f t="shared" ca="1" si="137"/>
        <v>1814.2540805868787</v>
      </c>
      <c r="N115" s="4">
        <f t="shared" ca="1" si="137"/>
        <v>1707.1639528822616</v>
      </c>
    </row>
    <row r="116" spans="1:14" x14ac:dyDescent="0.25">
      <c r="A116" s="15"/>
      <c r="B116">
        <f t="shared" si="109"/>
        <v>950</v>
      </c>
      <c r="C116" s="4" t="e">
        <f t="shared" ref="C116:N116" ca="1" si="138">IF(OR(C87="    batt!",C87="   mOC!",C87="    mop!"),C87,1.052*SQRT(($H$5+$M$5+(C$69*$F$67*$C$7+$B87)/4)*9.8/1000/$M$8/1.225/($M$4/1000)^4)*60/($F$96/100)/(C$69*$C$5-C58-((C$69*$C$5-C58)-((C$69*$C$5-C58)^2-4*C33*($H$4+2*($H$10+$H$11))/1000)^(1/2))/2))</f>
        <v>#NUM!</v>
      </c>
      <c r="D116" s="4" t="str">
        <f t="shared" ca="1" si="138"/>
        <v xml:space="preserve">    batt!</v>
      </c>
      <c r="E116" s="4" t="str">
        <f t="shared" ca="1" si="138"/>
        <v xml:space="preserve">    batt!</v>
      </c>
      <c r="F116" s="4" t="str">
        <f t="shared" ca="1" si="138"/>
        <v xml:space="preserve">    batt!</v>
      </c>
      <c r="G116" s="4" t="str">
        <f t="shared" ca="1" si="138"/>
        <v xml:space="preserve">    batt!</v>
      </c>
      <c r="H116" s="4" t="str">
        <f t="shared" ca="1" si="138"/>
        <v xml:space="preserve">    batt!</v>
      </c>
      <c r="I116" s="4">
        <f t="shared" ca="1" si="138"/>
        <v>2565.8522708045862</v>
      </c>
      <c r="J116" s="4">
        <f t="shared" ca="1" si="138"/>
        <v>2315.8292078393624</v>
      </c>
      <c r="K116" s="4">
        <f t="shared" ca="1" si="138"/>
        <v>2120.3612246830148</v>
      </c>
      <c r="L116" s="4">
        <f t="shared" ca="1" si="138"/>
        <v>1962.9085311494109</v>
      </c>
      <c r="M116" s="4">
        <f t="shared" ca="1" si="138"/>
        <v>1833.051875874155</v>
      </c>
      <c r="N116" s="4">
        <f t="shared" ca="1" si="138"/>
        <v>1723.891967456661</v>
      </c>
    </row>
    <row r="117" spans="1:14" x14ac:dyDescent="0.25">
      <c r="A117" s="15"/>
      <c r="B117">
        <f t="shared" si="109"/>
        <v>1000</v>
      </c>
      <c r="C117" s="4" t="e">
        <f t="shared" ref="C117:N117" ca="1" si="139">IF(OR(C88="    batt!",C88="   mOC!",C88="    mop!"),C88,1.052*SQRT(($H$5+$M$5+(C$69*$F$67*$C$7+$B88)/4)*9.8/1000/$M$8/1.225/($M$4/1000)^4)*60/($F$96/100)/(C$69*$C$5-C59-((C$69*$C$5-C59)-((C$69*$C$5-C59)^2-4*C34*($H$4+2*($H$10+$H$11))/1000)^(1/2))/2))</f>
        <v>#NUM!</v>
      </c>
      <c r="D117" s="4" t="str">
        <f t="shared" ca="1" si="139"/>
        <v xml:space="preserve">    batt!</v>
      </c>
      <c r="E117" s="4" t="str">
        <f t="shared" ca="1" si="139"/>
        <v xml:space="preserve">    batt!</v>
      </c>
      <c r="F117" s="4" t="str">
        <f t="shared" ca="1" si="139"/>
        <v xml:space="preserve">    batt!</v>
      </c>
      <c r="G117" s="4" t="str">
        <f t="shared" ca="1" si="139"/>
        <v xml:space="preserve">    batt!</v>
      </c>
      <c r="H117" s="4" t="str">
        <f t="shared" ca="1" si="139"/>
        <v xml:space="preserve">    batt!</v>
      </c>
      <c r="I117" s="4" t="str">
        <f t="shared" ca="1" si="139"/>
        <v xml:space="preserve">    batt!</v>
      </c>
      <c r="J117" s="4">
        <f t="shared" ca="1" si="139"/>
        <v>2344.3007293540804</v>
      </c>
      <c r="K117" s="4">
        <f t="shared" ca="1" si="139"/>
        <v>2144.7222287712807</v>
      </c>
      <c r="L117" s="4">
        <f t="shared" ca="1" si="139"/>
        <v>1984.0895958396393</v>
      </c>
      <c r="M117" s="4">
        <f t="shared" ca="1" si="139"/>
        <v>1851.7072280118732</v>
      </c>
      <c r="N117" s="4">
        <f t="shared" ca="1" si="139"/>
        <v>1740.4982870902411</v>
      </c>
    </row>
    <row r="118" spans="1:14" x14ac:dyDescent="0.25">
      <c r="A118" s="15"/>
      <c r="B118">
        <f t="shared" si="109"/>
        <v>1050</v>
      </c>
      <c r="C118" s="4" t="e">
        <f t="shared" ref="C118:N118" ca="1" si="140">IF(OR(C89="    batt!",C89="   mOC!",C89="    mop!"),C89,1.052*SQRT(($H$5+$M$5+(C$69*$F$67*$C$7+$B89)/4)*9.8/1000/$M$8/1.225/($M$4/1000)^4)*60/($F$96/100)/(C$69*$C$5-C60-((C$69*$C$5-C60)-((C$69*$C$5-C60)^2-4*C35*($H$4+2*($H$10+$H$11))/1000)^(1/2))/2))</f>
        <v>#NUM!</v>
      </c>
      <c r="D118" s="4" t="str">
        <f t="shared" ca="1" si="140"/>
        <v xml:space="preserve">    batt!</v>
      </c>
      <c r="E118" s="4" t="str">
        <f t="shared" ca="1" si="140"/>
        <v xml:space="preserve">    batt!</v>
      </c>
      <c r="F118" s="4" t="str">
        <f t="shared" ca="1" si="140"/>
        <v xml:space="preserve">    batt!</v>
      </c>
      <c r="G118" s="4" t="str">
        <f t="shared" ca="1" si="140"/>
        <v xml:space="preserve">    batt!</v>
      </c>
      <c r="H118" s="4" t="str">
        <f t="shared" ca="1" si="140"/>
        <v xml:space="preserve">    batt!</v>
      </c>
      <c r="I118" s="4" t="str">
        <f t="shared" ca="1" si="140"/>
        <v xml:space="preserve">    batt!</v>
      </c>
      <c r="J118" s="4" t="str">
        <f t="shared" ca="1" si="140"/>
        <v xml:space="preserve">    batt!</v>
      </c>
      <c r="K118" s="4">
        <f t="shared" ca="1" si="140"/>
        <v>2168.8900257021201</v>
      </c>
      <c r="L118" s="4">
        <f t="shared" ca="1" si="140"/>
        <v>2005.1085083799858</v>
      </c>
      <c r="M118" s="4">
        <f t="shared" ca="1" si="140"/>
        <v>1870.2250672300245</v>
      </c>
      <c r="N118" s="4">
        <f t="shared" ca="1" si="140"/>
        <v>1756.9868671337208</v>
      </c>
    </row>
    <row r="119" spans="1:14" x14ac:dyDescent="0.25">
      <c r="A119" s="15"/>
      <c r="B119">
        <f t="shared" si="109"/>
        <v>1100</v>
      </c>
      <c r="C119" s="4" t="e">
        <f t="shared" ref="C119:N119" ca="1" si="141">IF(OR(C90="    batt!",C90="   mOC!",C90="    mop!"),C90,1.052*SQRT(($H$5+$M$5+(C$69*$F$67*$C$7+$B90)/4)*9.8/1000/$M$8/1.225/($M$4/1000)^4)*60/($F$96/100)/(C$69*$C$5-C61-((C$69*$C$5-C61)-((C$69*$C$5-C61)^2-4*C36*($H$4+2*($H$10+$H$11))/1000)^(1/2))/2))</f>
        <v>#NUM!</v>
      </c>
      <c r="D119" s="4" t="str">
        <f t="shared" ca="1" si="141"/>
        <v xml:space="preserve">    batt!</v>
      </c>
      <c r="E119" s="4" t="str">
        <f t="shared" ca="1" si="141"/>
        <v xml:space="preserve">    batt!</v>
      </c>
      <c r="F119" s="4" t="str">
        <f t="shared" ca="1" si="141"/>
        <v xml:space="preserve">    batt!</v>
      </c>
      <c r="G119" s="4" t="str">
        <f t="shared" ca="1" si="141"/>
        <v xml:space="preserve">    batt!</v>
      </c>
      <c r="H119" s="4" t="str">
        <f t="shared" ca="1" si="141"/>
        <v xml:space="preserve">    batt!</v>
      </c>
      <c r="I119" s="4" t="str">
        <f t="shared" ca="1" si="141"/>
        <v xml:space="preserve">    batt!</v>
      </c>
      <c r="J119" s="4" t="str">
        <f t="shared" ca="1" si="141"/>
        <v xml:space="preserve">    batt!</v>
      </c>
      <c r="K119" s="4">
        <f t="shared" ca="1" si="141"/>
        <v>2192.8722853893541</v>
      </c>
      <c r="L119" s="4">
        <f t="shared" ca="1" si="141"/>
        <v>2025.9712209962133</v>
      </c>
      <c r="M119" s="4">
        <f t="shared" ca="1" si="141"/>
        <v>1888.6101023956751</v>
      </c>
      <c r="N119" s="4">
        <f t="shared" ca="1" si="141"/>
        <v>1773.3614935851895</v>
      </c>
    </row>
    <row r="120" spans="1:14" x14ac:dyDescent="0.25">
      <c r="A120" s="15"/>
      <c r="B120">
        <f t="shared" si="109"/>
        <v>1150</v>
      </c>
      <c r="C120" s="4" t="e">
        <f t="shared" ref="C120:N120" ca="1" si="142">IF(OR(C91="    batt!",C91="   mOC!",C91="    mop!"),C91,1.052*SQRT(($H$5+$M$5+(C$69*$F$67*$C$7+$B91)/4)*9.8/1000/$M$8/1.225/($M$4/1000)^4)*60/($F$96/100)/(C$69*$C$5-C62-((C$69*$C$5-C62)-((C$69*$C$5-C62)^2-4*C37*($H$4+2*($H$10+$H$11))/1000)^(1/2))/2))</f>
        <v>#NUM!</v>
      </c>
      <c r="D120" s="4" t="str">
        <f t="shared" ca="1" si="142"/>
        <v xml:space="preserve">    batt!</v>
      </c>
      <c r="E120" s="4" t="str">
        <f t="shared" ca="1" si="142"/>
        <v xml:space="preserve">    batt!</v>
      </c>
      <c r="F120" s="4" t="str">
        <f t="shared" ca="1" si="142"/>
        <v xml:space="preserve">    batt!</v>
      </c>
      <c r="G120" s="4" t="str">
        <f t="shared" ca="1" si="142"/>
        <v xml:space="preserve">    batt!</v>
      </c>
      <c r="H120" s="4" t="str">
        <f t="shared" ca="1" si="142"/>
        <v xml:space="preserve">    batt!</v>
      </c>
      <c r="I120" s="4" t="str">
        <f t="shared" ca="1" si="142"/>
        <v xml:space="preserve">    batt!</v>
      </c>
      <c r="J120" s="4" t="str">
        <f t="shared" ca="1" si="142"/>
        <v xml:space="preserve">    batt!</v>
      </c>
      <c r="K120" s="4" t="str">
        <f t="shared" ca="1" si="142"/>
        <v xml:space="preserve">    batt!</v>
      </c>
      <c r="L120" s="4">
        <f t="shared" ca="1" si="142"/>
        <v>2046.6834113937921</v>
      </c>
      <c r="M120" s="4">
        <f t="shared" ca="1" si="142"/>
        <v>1906.8668352866191</v>
      </c>
      <c r="N120" s="4">
        <f t="shared" ca="1" si="142"/>
        <v>1789.6257934672901</v>
      </c>
    </row>
    <row r="121" spans="1:14" x14ac:dyDescent="0.25">
      <c r="A121" s="15"/>
      <c r="B121">
        <f t="shared" si="109"/>
        <v>1200</v>
      </c>
      <c r="C121" s="4" t="e">
        <f t="shared" ref="C121:N121" ca="1" si="143">IF(OR(C92="    batt!",C92="   mOC!",C92="    mop!"),C92,1.052*SQRT(($H$5+$M$5+(C$69*$F$67*$C$7+$B92)/4)*9.8/1000/$M$8/1.225/($M$4/1000)^4)*60/($F$96/100)/(C$69*$C$5-C63-((C$69*$C$5-C63)-((C$69*$C$5-C63)^2-4*C38*($H$4+2*($H$10+$H$11))/1000)^(1/2))/2))</f>
        <v>#NUM!</v>
      </c>
      <c r="D121" s="4" t="str">
        <f t="shared" ca="1" si="143"/>
        <v xml:space="preserve">    batt!</v>
      </c>
      <c r="E121" s="4" t="str">
        <f t="shared" ca="1" si="143"/>
        <v xml:space="preserve">    batt!</v>
      </c>
      <c r="F121" s="4" t="str">
        <f t="shared" ca="1" si="143"/>
        <v xml:space="preserve">    batt!</v>
      </c>
      <c r="G121" s="4" t="str">
        <f t="shared" ca="1" si="143"/>
        <v xml:space="preserve">    batt!</v>
      </c>
      <c r="H121" s="4" t="str">
        <f t="shared" ca="1" si="143"/>
        <v xml:space="preserve">    batt!</v>
      </c>
      <c r="I121" s="4" t="str">
        <f t="shared" ca="1" si="143"/>
        <v xml:space="preserve">    batt!</v>
      </c>
      <c r="J121" s="4" t="str">
        <f t="shared" ca="1" si="143"/>
        <v xml:space="preserve">    batt!</v>
      </c>
      <c r="K121" s="4" t="str">
        <f t="shared" ca="1" si="143"/>
        <v xml:space="preserve">    batt!</v>
      </c>
      <c r="L121" s="4" t="str">
        <f t="shared" ca="1" si="143"/>
        <v xml:space="preserve">    batt!</v>
      </c>
      <c r="M121" s="4">
        <f t="shared" ca="1" si="143"/>
        <v>1924.9995737162667</v>
      </c>
      <c r="N121" s="4">
        <f t="shared" ca="1" si="143"/>
        <v>1805.7832444089156</v>
      </c>
    </row>
  </sheetData>
  <mergeCells count="13">
    <mergeCell ref="A99:A121"/>
    <mergeCell ref="P99:P110"/>
    <mergeCell ref="P70:P81"/>
    <mergeCell ref="A70:A92"/>
    <mergeCell ref="C97:J97"/>
    <mergeCell ref="R97:Y97"/>
    <mergeCell ref="A97:B98"/>
    <mergeCell ref="P97:Q98"/>
    <mergeCell ref="R68:AA68"/>
    <mergeCell ref="A15:A59"/>
    <mergeCell ref="C68:J68"/>
    <mergeCell ref="A68:B69"/>
    <mergeCell ref="P68:Q6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92E9-AE3D-454D-AA0F-AB6FAA8759F9}">
  <dimension ref="A1:H41"/>
  <sheetViews>
    <sheetView workbookViewId="0">
      <pane ySplit="1" topLeftCell="A2" activePane="bottomLeft" state="frozen"/>
      <selection pane="bottomLeft" activeCell="B40" sqref="B40"/>
    </sheetView>
  </sheetViews>
  <sheetFormatPr defaultRowHeight="13.8" x14ac:dyDescent="0.25"/>
  <sheetData>
    <row r="1" spans="1:8" x14ac:dyDescent="0.25">
      <c r="A1" t="s">
        <v>125</v>
      </c>
      <c r="B1" t="s">
        <v>59</v>
      </c>
      <c r="C1" t="s">
        <v>60</v>
      </c>
      <c r="D1" t="s">
        <v>61</v>
      </c>
      <c r="E1" t="s">
        <v>62</v>
      </c>
      <c r="F1" t="s">
        <v>128</v>
      </c>
      <c r="G1" t="s">
        <v>110</v>
      </c>
      <c r="H1" t="s">
        <v>65</v>
      </c>
    </row>
    <row r="2" spans="1:8" x14ac:dyDescent="0.25">
      <c r="A2" t="s">
        <v>58</v>
      </c>
    </row>
    <row r="3" spans="1:8" x14ac:dyDescent="0.25">
      <c r="A3" t="s">
        <v>58</v>
      </c>
      <c r="B3">
        <v>2036</v>
      </c>
      <c r="C3">
        <v>4</v>
      </c>
      <c r="D3">
        <v>3.6</v>
      </c>
      <c r="E3">
        <v>52</v>
      </c>
      <c r="F3">
        <v>0.84</v>
      </c>
      <c r="H3" t="s">
        <v>31</v>
      </c>
    </row>
    <row r="4" spans="1:8" x14ac:dyDescent="0.25">
      <c r="A4" t="s">
        <v>58</v>
      </c>
      <c r="B4">
        <v>2040</v>
      </c>
      <c r="C4">
        <v>3</v>
      </c>
      <c r="D4">
        <v>1.87</v>
      </c>
      <c r="E4">
        <v>52.89</v>
      </c>
      <c r="F4">
        <v>0.85</v>
      </c>
      <c r="H4" t="s">
        <v>26</v>
      </c>
    </row>
    <row r="5" spans="1:8" x14ac:dyDescent="0.25">
      <c r="A5" t="s">
        <v>58</v>
      </c>
      <c r="B5" t="s">
        <v>277</v>
      </c>
      <c r="C5">
        <v>5</v>
      </c>
      <c r="D5">
        <v>1.65</v>
      </c>
      <c r="E5">
        <v>63.5</v>
      </c>
      <c r="F5">
        <v>1.76</v>
      </c>
      <c r="H5" t="s">
        <v>278</v>
      </c>
    </row>
    <row r="6" spans="1:8" x14ac:dyDescent="0.25">
      <c r="A6" t="s">
        <v>58</v>
      </c>
      <c r="B6" t="s">
        <v>280</v>
      </c>
      <c r="C6">
        <v>3</v>
      </c>
      <c r="D6">
        <v>3</v>
      </c>
      <c r="E6">
        <v>63.5</v>
      </c>
      <c r="F6">
        <v>1.4</v>
      </c>
      <c r="H6" t="s">
        <v>279</v>
      </c>
    </row>
    <row r="7" spans="1:8" x14ac:dyDescent="0.25">
      <c r="A7" t="s">
        <v>58</v>
      </c>
      <c r="B7">
        <v>2540</v>
      </c>
      <c r="C7">
        <v>3</v>
      </c>
      <c r="D7">
        <v>4</v>
      </c>
      <c r="E7">
        <v>63.5</v>
      </c>
      <c r="F7">
        <v>0.98</v>
      </c>
      <c r="H7" t="s">
        <v>156</v>
      </c>
    </row>
    <row r="8" spans="1:8" x14ac:dyDescent="0.25">
      <c r="A8" t="s">
        <v>58</v>
      </c>
      <c r="B8">
        <v>2520</v>
      </c>
      <c r="C8">
        <v>3</v>
      </c>
      <c r="D8">
        <v>2</v>
      </c>
      <c r="E8">
        <v>64</v>
      </c>
      <c r="F8">
        <v>1</v>
      </c>
      <c r="H8" t="s">
        <v>157</v>
      </c>
    </row>
    <row r="9" spans="1:8" x14ac:dyDescent="0.25">
      <c r="A9" t="s">
        <v>58</v>
      </c>
      <c r="B9" t="s">
        <v>100</v>
      </c>
      <c r="C9">
        <v>2</v>
      </c>
      <c r="D9">
        <v>1.3</v>
      </c>
      <c r="E9">
        <v>65</v>
      </c>
      <c r="F9">
        <v>0.43</v>
      </c>
      <c r="H9" t="s">
        <v>148</v>
      </c>
    </row>
    <row r="10" spans="1:8" x14ac:dyDescent="0.25">
      <c r="A10" t="s">
        <v>58</v>
      </c>
    </row>
    <row r="11" spans="1:8" x14ac:dyDescent="0.25">
      <c r="A11" t="s">
        <v>58</v>
      </c>
    </row>
    <row r="12" spans="1:8" x14ac:dyDescent="0.25">
      <c r="A12" t="s">
        <v>58</v>
      </c>
    </row>
    <row r="13" spans="1:8" x14ac:dyDescent="0.25">
      <c r="A13" t="s">
        <v>58</v>
      </c>
      <c r="B13">
        <v>3018</v>
      </c>
      <c r="C13">
        <v>2</v>
      </c>
      <c r="D13">
        <v>1.4</v>
      </c>
      <c r="E13">
        <v>76.5</v>
      </c>
      <c r="F13">
        <v>0.83699999999999997</v>
      </c>
      <c r="H13" t="s">
        <v>154</v>
      </c>
    </row>
    <row r="14" spans="1:8" x14ac:dyDescent="0.25">
      <c r="A14" t="s">
        <v>58</v>
      </c>
      <c r="B14">
        <v>3020</v>
      </c>
      <c r="C14">
        <v>3</v>
      </c>
      <c r="D14">
        <v>1.5</v>
      </c>
      <c r="E14">
        <v>76.5</v>
      </c>
      <c r="F14">
        <v>1.3</v>
      </c>
    </row>
    <row r="15" spans="1:8" x14ac:dyDescent="0.25">
      <c r="A15" t="s">
        <v>58</v>
      </c>
      <c r="B15">
        <v>3016</v>
      </c>
      <c r="C15">
        <v>3</v>
      </c>
      <c r="D15">
        <v>1.6</v>
      </c>
      <c r="E15">
        <v>76.5</v>
      </c>
      <c r="F15">
        <v>1.18</v>
      </c>
    </row>
    <row r="16" spans="1:8" x14ac:dyDescent="0.25">
      <c r="A16" t="s">
        <v>58</v>
      </c>
    </row>
    <row r="17" spans="1:8" x14ac:dyDescent="0.25">
      <c r="A17" t="s">
        <v>58</v>
      </c>
      <c r="B17">
        <v>4024</v>
      </c>
      <c r="C17">
        <v>2</v>
      </c>
      <c r="D17">
        <v>2.4</v>
      </c>
      <c r="E17">
        <v>101.6</v>
      </c>
      <c r="F17">
        <v>1.6</v>
      </c>
      <c r="H17" t="s">
        <v>155</v>
      </c>
    </row>
    <row r="18" spans="1:8" x14ac:dyDescent="0.25">
      <c r="A18" t="s">
        <v>58</v>
      </c>
      <c r="H18" s="7"/>
    </row>
    <row r="19" spans="1:8" x14ac:dyDescent="0.25">
      <c r="A19" t="s">
        <v>58</v>
      </c>
      <c r="B19">
        <v>6026</v>
      </c>
      <c r="C19">
        <v>2</v>
      </c>
      <c r="D19">
        <v>2.6</v>
      </c>
      <c r="E19">
        <v>152.4</v>
      </c>
      <c r="F19">
        <v>3.04</v>
      </c>
      <c r="H19" t="s">
        <v>301</v>
      </c>
    </row>
    <row r="20" spans="1:8" x14ac:dyDescent="0.25">
      <c r="A20" t="s">
        <v>58</v>
      </c>
    </row>
    <row r="22" spans="1:8" x14ac:dyDescent="0.25">
      <c r="A22" t="s">
        <v>63</v>
      </c>
      <c r="B22" t="s">
        <v>104</v>
      </c>
      <c r="C22">
        <v>2</v>
      </c>
      <c r="D22">
        <v>1</v>
      </c>
      <c r="E22">
        <v>65</v>
      </c>
      <c r="F22">
        <v>0.39</v>
      </c>
    </row>
    <row r="23" spans="1:8" x14ac:dyDescent="0.25">
      <c r="A23" t="s">
        <v>63</v>
      </c>
      <c r="B23" t="s">
        <v>105</v>
      </c>
      <c r="C23">
        <v>2</v>
      </c>
      <c r="D23">
        <v>1</v>
      </c>
      <c r="E23">
        <v>65</v>
      </c>
      <c r="F23">
        <v>0.46</v>
      </c>
    </row>
    <row r="24" spans="1:8" x14ac:dyDescent="0.25">
      <c r="A24" t="s">
        <v>63</v>
      </c>
      <c r="B24" t="s">
        <v>102</v>
      </c>
      <c r="C24">
        <v>3</v>
      </c>
      <c r="D24">
        <v>1</v>
      </c>
      <c r="E24">
        <v>65</v>
      </c>
      <c r="F24">
        <v>0.6</v>
      </c>
    </row>
    <row r="25" spans="1:8" x14ac:dyDescent="0.25">
      <c r="A25" t="s">
        <v>63</v>
      </c>
      <c r="B25" t="s">
        <v>103</v>
      </c>
      <c r="C25">
        <v>2</v>
      </c>
      <c r="D25">
        <v>1.5</v>
      </c>
      <c r="E25">
        <v>65</v>
      </c>
      <c r="F25">
        <v>0.55000000000000004</v>
      </c>
      <c r="H25" t="s">
        <v>101</v>
      </c>
    </row>
    <row r="26" spans="1:8" x14ac:dyDescent="0.25">
      <c r="A26" t="s">
        <v>63</v>
      </c>
    </row>
    <row r="27" spans="1:8" x14ac:dyDescent="0.25">
      <c r="A27" t="s">
        <v>63</v>
      </c>
    </row>
    <row r="28" spans="1:8" x14ac:dyDescent="0.25">
      <c r="A28" t="s">
        <v>63</v>
      </c>
      <c r="B28" t="s">
        <v>64</v>
      </c>
      <c r="C28">
        <v>3</v>
      </c>
      <c r="D28">
        <v>1.8</v>
      </c>
      <c r="E28">
        <v>76.2</v>
      </c>
      <c r="F28">
        <v>1.2</v>
      </c>
      <c r="H28" t="s">
        <v>276</v>
      </c>
    </row>
    <row r="29" spans="1:8" x14ac:dyDescent="0.25">
      <c r="A29" t="s">
        <v>63</v>
      </c>
      <c r="B29" t="s">
        <v>106</v>
      </c>
      <c r="C29">
        <v>2</v>
      </c>
      <c r="D29">
        <v>2</v>
      </c>
      <c r="E29">
        <v>76.2</v>
      </c>
      <c r="F29">
        <v>0.95</v>
      </c>
      <c r="H29" t="s">
        <v>108</v>
      </c>
    </row>
    <row r="30" spans="1:8" x14ac:dyDescent="0.25">
      <c r="A30" t="s">
        <v>63</v>
      </c>
      <c r="B30" t="s">
        <v>107</v>
      </c>
      <c r="C30">
        <v>3</v>
      </c>
      <c r="D30">
        <v>2</v>
      </c>
      <c r="E30">
        <v>76.2</v>
      </c>
      <c r="F30">
        <v>1.2</v>
      </c>
    </row>
    <row r="31" spans="1:8" x14ac:dyDescent="0.25">
      <c r="A31" t="s">
        <v>63</v>
      </c>
      <c r="B31" t="s">
        <v>158</v>
      </c>
      <c r="C31">
        <v>3</v>
      </c>
      <c r="D31">
        <v>2.5</v>
      </c>
      <c r="E31">
        <v>76.2</v>
      </c>
      <c r="F31">
        <v>1.35</v>
      </c>
    </row>
    <row r="32" spans="1:8" x14ac:dyDescent="0.25">
      <c r="A32" t="s">
        <v>63</v>
      </c>
      <c r="B32" t="s">
        <v>159</v>
      </c>
      <c r="C32">
        <v>3</v>
      </c>
      <c r="D32">
        <v>3</v>
      </c>
      <c r="E32">
        <v>76.2</v>
      </c>
      <c r="F32">
        <v>1.48</v>
      </c>
    </row>
    <row r="33" spans="1:6" x14ac:dyDescent="0.25">
      <c r="A33" t="s">
        <v>63</v>
      </c>
      <c r="B33" t="s">
        <v>160</v>
      </c>
      <c r="C33">
        <v>3</v>
      </c>
      <c r="D33">
        <v>3</v>
      </c>
      <c r="E33">
        <v>76.2</v>
      </c>
      <c r="F33">
        <v>1.55</v>
      </c>
    </row>
    <row r="34" spans="1:6" x14ac:dyDescent="0.25">
      <c r="A34" t="s">
        <v>63</v>
      </c>
      <c r="B34" t="s">
        <v>161</v>
      </c>
      <c r="C34">
        <v>3</v>
      </c>
      <c r="D34">
        <v>3</v>
      </c>
      <c r="E34">
        <v>76.2</v>
      </c>
      <c r="F34">
        <v>1.65</v>
      </c>
    </row>
    <row r="35" spans="1:6" x14ac:dyDescent="0.25">
      <c r="A35" t="s">
        <v>63</v>
      </c>
    </row>
    <row r="36" spans="1:6" x14ac:dyDescent="0.25">
      <c r="A36" t="s">
        <v>63</v>
      </c>
    </row>
    <row r="37" spans="1:6" x14ac:dyDescent="0.25">
      <c r="A37" t="s">
        <v>63</v>
      </c>
    </row>
    <row r="38" spans="1:6" x14ac:dyDescent="0.25">
      <c r="A38" t="s">
        <v>63</v>
      </c>
    </row>
    <row r="39" spans="1:6" x14ac:dyDescent="0.25">
      <c r="A39" t="s">
        <v>63</v>
      </c>
      <c r="B39" t="s">
        <v>302</v>
      </c>
      <c r="C39">
        <v>3</v>
      </c>
      <c r="D39">
        <v>2.5</v>
      </c>
      <c r="E39">
        <v>152.4</v>
      </c>
      <c r="F39">
        <v>4.13</v>
      </c>
    </row>
    <row r="40" spans="1:6" x14ac:dyDescent="0.25">
      <c r="A40" t="s">
        <v>63</v>
      </c>
    </row>
    <row r="41" spans="1:6" x14ac:dyDescent="0.25">
      <c r="A41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6BCDA-1742-4A76-A6BB-8D3A29B38DAB}">
  <dimension ref="A1:J79"/>
  <sheetViews>
    <sheetView workbookViewId="0">
      <pane ySplit="1" topLeftCell="A2" activePane="bottomLeft" state="frozen"/>
      <selection pane="bottomLeft" activeCell="G16" sqref="G16"/>
    </sheetView>
  </sheetViews>
  <sheetFormatPr defaultRowHeight="13.8" x14ac:dyDescent="0.25"/>
  <sheetData>
    <row r="1" spans="1:10" x14ac:dyDescent="0.25">
      <c r="A1" t="s">
        <v>125</v>
      </c>
      <c r="C1" t="s">
        <v>59</v>
      </c>
      <c r="D1" t="s">
        <v>126</v>
      </c>
      <c r="E1" t="s">
        <v>128</v>
      </c>
      <c r="F1" t="s">
        <v>2</v>
      </c>
      <c r="G1" t="s">
        <v>117</v>
      </c>
      <c r="H1" t="s">
        <v>130</v>
      </c>
      <c r="I1" t="s">
        <v>129</v>
      </c>
    </row>
    <row r="2" spans="1:10" x14ac:dyDescent="0.25">
      <c r="A2" t="s">
        <v>259</v>
      </c>
      <c r="B2" t="s">
        <v>27</v>
      </c>
      <c r="C2" t="s">
        <v>28</v>
      </c>
      <c r="D2">
        <v>1203</v>
      </c>
      <c r="E2">
        <v>5.0999999999999996</v>
      </c>
      <c r="F2">
        <v>11500</v>
      </c>
      <c r="G2">
        <v>110</v>
      </c>
      <c r="H2">
        <v>126</v>
      </c>
      <c r="I2">
        <v>16.23</v>
      </c>
    </row>
    <row r="3" spans="1:10" x14ac:dyDescent="0.25">
      <c r="A3" t="s">
        <v>259</v>
      </c>
      <c r="B3" t="s">
        <v>27</v>
      </c>
      <c r="C3" t="s">
        <v>28</v>
      </c>
      <c r="D3">
        <v>1203</v>
      </c>
      <c r="E3">
        <v>5.0999999999999996</v>
      </c>
      <c r="F3">
        <v>8500</v>
      </c>
      <c r="G3">
        <v>150</v>
      </c>
      <c r="H3">
        <v>170</v>
      </c>
      <c r="I3">
        <v>14.42</v>
      </c>
    </row>
    <row r="4" spans="1:10" x14ac:dyDescent="0.25">
      <c r="A4" t="s">
        <v>259</v>
      </c>
      <c r="B4" t="s">
        <v>27</v>
      </c>
      <c r="C4" t="s">
        <v>28</v>
      </c>
      <c r="D4">
        <v>1203</v>
      </c>
      <c r="E4">
        <v>5.0999999999999996</v>
      </c>
      <c r="F4">
        <v>7600</v>
      </c>
      <c r="G4">
        <v>210</v>
      </c>
      <c r="H4">
        <v>145.1</v>
      </c>
      <c r="I4">
        <v>12.28</v>
      </c>
      <c r="J4" t="s">
        <v>262</v>
      </c>
    </row>
    <row r="5" spans="1:10" x14ac:dyDescent="0.25">
      <c r="A5" t="s">
        <v>259</v>
      </c>
      <c r="B5" t="s">
        <v>27</v>
      </c>
      <c r="C5" t="s">
        <v>28</v>
      </c>
      <c r="D5">
        <v>1203</v>
      </c>
      <c r="E5">
        <v>5.0999999999999996</v>
      </c>
      <c r="F5">
        <v>6500</v>
      </c>
      <c r="G5">
        <v>280</v>
      </c>
      <c r="H5">
        <v>120</v>
      </c>
      <c r="I5">
        <v>10.16</v>
      </c>
    </row>
    <row r="6" spans="1:10" x14ac:dyDescent="0.25">
      <c r="A6" t="s">
        <v>259</v>
      </c>
      <c r="B6" t="s">
        <v>27</v>
      </c>
      <c r="C6" t="s">
        <v>28</v>
      </c>
      <c r="D6">
        <v>1404</v>
      </c>
      <c r="E6">
        <v>9.8000000000000007</v>
      </c>
      <c r="F6">
        <v>5000</v>
      </c>
      <c r="G6">
        <v>150</v>
      </c>
      <c r="H6">
        <v>279</v>
      </c>
      <c r="I6">
        <v>18.39</v>
      </c>
    </row>
    <row r="7" spans="1:10" x14ac:dyDescent="0.25">
      <c r="A7" t="s">
        <v>259</v>
      </c>
      <c r="B7" t="s">
        <v>27</v>
      </c>
      <c r="C7" t="s">
        <v>28</v>
      </c>
      <c r="D7">
        <v>1404</v>
      </c>
      <c r="E7">
        <v>9.8000000000000007</v>
      </c>
      <c r="F7">
        <v>4800</v>
      </c>
      <c r="G7">
        <v>179</v>
      </c>
      <c r="H7">
        <v>297</v>
      </c>
      <c r="I7">
        <v>18.88</v>
      </c>
    </row>
    <row r="8" spans="1:10" x14ac:dyDescent="0.25">
      <c r="A8" t="s">
        <v>259</v>
      </c>
      <c r="B8" t="s">
        <v>27</v>
      </c>
      <c r="C8" t="s">
        <v>28</v>
      </c>
      <c r="D8">
        <v>1404</v>
      </c>
      <c r="E8">
        <v>9.8000000000000007</v>
      </c>
      <c r="F8">
        <v>3850</v>
      </c>
      <c r="G8">
        <v>270</v>
      </c>
      <c r="H8">
        <v>226.7</v>
      </c>
      <c r="I8">
        <v>14.35</v>
      </c>
    </row>
    <row r="9" spans="1:10" x14ac:dyDescent="0.25">
      <c r="A9" t="s">
        <v>259</v>
      </c>
      <c r="B9" t="s">
        <v>27</v>
      </c>
      <c r="C9" t="s">
        <v>28</v>
      </c>
      <c r="D9">
        <v>1404</v>
      </c>
      <c r="E9">
        <v>9.8000000000000007</v>
      </c>
      <c r="F9">
        <v>2900</v>
      </c>
      <c r="G9">
        <v>332</v>
      </c>
      <c r="H9">
        <v>372</v>
      </c>
      <c r="I9">
        <v>15.64</v>
      </c>
    </row>
    <row r="10" spans="1:10" x14ac:dyDescent="0.25">
      <c r="A10" t="s">
        <v>259</v>
      </c>
      <c r="B10" t="s">
        <v>27</v>
      </c>
      <c r="C10" t="s">
        <v>28</v>
      </c>
      <c r="D10">
        <v>1505</v>
      </c>
      <c r="E10">
        <v>14.2</v>
      </c>
      <c r="F10">
        <v>5000</v>
      </c>
      <c r="G10">
        <v>66</v>
      </c>
      <c r="H10">
        <v>487</v>
      </c>
      <c r="I10">
        <v>31.6</v>
      </c>
    </row>
    <row r="11" spans="1:10" x14ac:dyDescent="0.25">
      <c r="A11" t="s">
        <v>259</v>
      </c>
      <c r="B11" t="s">
        <v>27</v>
      </c>
      <c r="C11" t="s">
        <v>28</v>
      </c>
      <c r="D11">
        <v>1505</v>
      </c>
      <c r="E11">
        <v>14.2</v>
      </c>
      <c r="F11">
        <v>4800</v>
      </c>
      <c r="G11">
        <v>73</v>
      </c>
      <c r="H11">
        <v>462</v>
      </c>
      <c r="I11">
        <v>33.03</v>
      </c>
    </row>
    <row r="12" spans="1:10" x14ac:dyDescent="0.25">
      <c r="A12" t="s">
        <v>259</v>
      </c>
      <c r="B12" t="s">
        <v>27</v>
      </c>
      <c r="C12" t="s">
        <v>28</v>
      </c>
      <c r="D12">
        <v>1505</v>
      </c>
      <c r="E12">
        <v>14.2</v>
      </c>
      <c r="F12">
        <v>3800</v>
      </c>
      <c r="G12">
        <v>99</v>
      </c>
      <c r="H12">
        <v>426</v>
      </c>
      <c r="I12">
        <v>27.36</v>
      </c>
    </row>
    <row r="13" spans="1:10" x14ac:dyDescent="0.25">
      <c r="A13" t="s">
        <v>259</v>
      </c>
      <c r="B13" t="s">
        <v>27</v>
      </c>
      <c r="C13" t="s">
        <v>28</v>
      </c>
      <c r="D13">
        <v>1505</v>
      </c>
      <c r="E13">
        <v>14.2</v>
      </c>
      <c r="F13">
        <v>3450</v>
      </c>
      <c r="G13">
        <v>115</v>
      </c>
      <c r="H13">
        <v>482</v>
      </c>
      <c r="I13">
        <v>23.7</v>
      </c>
    </row>
    <row r="14" spans="1:10" x14ac:dyDescent="0.25">
      <c r="A14" t="s">
        <v>259</v>
      </c>
      <c r="B14" t="s">
        <v>27</v>
      </c>
      <c r="C14" t="s">
        <v>28</v>
      </c>
      <c r="D14">
        <v>1505</v>
      </c>
      <c r="E14">
        <v>14.2</v>
      </c>
      <c r="F14">
        <v>2900</v>
      </c>
      <c r="G14">
        <v>170</v>
      </c>
      <c r="H14">
        <v>430</v>
      </c>
      <c r="I14">
        <v>18.149999999999999</v>
      </c>
    </row>
    <row r="15" spans="1:10" x14ac:dyDescent="0.25">
      <c r="A15" t="s">
        <v>259</v>
      </c>
      <c r="B15" t="s">
        <v>27</v>
      </c>
      <c r="C15" t="s">
        <v>28</v>
      </c>
      <c r="D15">
        <v>1505</v>
      </c>
      <c r="E15">
        <v>14.2</v>
      </c>
      <c r="F15">
        <v>2350</v>
      </c>
      <c r="G15">
        <v>240</v>
      </c>
      <c r="H15">
        <v>362</v>
      </c>
      <c r="I15">
        <v>15.25</v>
      </c>
    </row>
    <row r="16" spans="1:10" x14ac:dyDescent="0.25">
      <c r="A16" t="s">
        <v>259</v>
      </c>
      <c r="B16" t="s">
        <v>27</v>
      </c>
      <c r="C16" t="s">
        <v>28</v>
      </c>
      <c r="D16">
        <v>2006</v>
      </c>
      <c r="E16">
        <v>19.2</v>
      </c>
      <c r="F16">
        <v>3000</v>
      </c>
      <c r="G16">
        <v>68</v>
      </c>
      <c r="H16">
        <v>546</v>
      </c>
      <c r="I16">
        <v>33.520000000000003</v>
      </c>
      <c r="J16" t="s">
        <v>293</v>
      </c>
    </row>
    <row r="17" spans="1:10" x14ac:dyDescent="0.25">
      <c r="A17" t="s">
        <v>259</v>
      </c>
      <c r="B17" t="s">
        <v>27</v>
      </c>
      <c r="C17" t="s">
        <v>28</v>
      </c>
      <c r="D17">
        <v>2006</v>
      </c>
      <c r="E17">
        <v>19.2</v>
      </c>
      <c r="F17">
        <v>2550</v>
      </c>
      <c r="G17">
        <v>86</v>
      </c>
      <c r="H17">
        <v>878</v>
      </c>
      <c r="I17">
        <v>36.6</v>
      </c>
      <c r="J17" t="s">
        <v>293</v>
      </c>
    </row>
    <row r="18" spans="1:10" x14ac:dyDescent="0.25">
      <c r="A18" t="s">
        <v>259</v>
      </c>
      <c r="B18" t="s">
        <v>27</v>
      </c>
      <c r="C18" t="s">
        <v>28</v>
      </c>
      <c r="D18">
        <v>2006</v>
      </c>
      <c r="E18">
        <v>19.2</v>
      </c>
      <c r="F18">
        <v>2150</v>
      </c>
      <c r="G18">
        <v>116</v>
      </c>
      <c r="H18">
        <v>691</v>
      </c>
      <c r="I18">
        <v>28.8</v>
      </c>
      <c r="J18" t="s">
        <v>293</v>
      </c>
    </row>
    <row r="19" spans="1:10" x14ac:dyDescent="0.25">
      <c r="A19" t="s">
        <v>259</v>
      </c>
      <c r="B19" t="s">
        <v>27</v>
      </c>
      <c r="C19" t="s">
        <v>28</v>
      </c>
      <c r="D19">
        <v>2006</v>
      </c>
      <c r="E19">
        <v>19.2</v>
      </c>
      <c r="F19">
        <v>1960</v>
      </c>
      <c r="G19">
        <v>125</v>
      </c>
      <c r="H19">
        <v>590</v>
      </c>
      <c r="I19">
        <v>24.6</v>
      </c>
      <c r="J19" t="s">
        <v>293</v>
      </c>
    </row>
    <row r="20" spans="1:10" x14ac:dyDescent="0.25">
      <c r="A20" t="s">
        <v>259</v>
      </c>
      <c r="B20" t="s">
        <v>27</v>
      </c>
      <c r="C20" t="s">
        <v>294</v>
      </c>
      <c r="D20">
        <v>2204</v>
      </c>
      <c r="E20">
        <v>23.7</v>
      </c>
      <c r="F20">
        <v>3600</v>
      </c>
      <c r="G20">
        <v>51</v>
      </c>
      <c r="H20">
        <v>859</v>
      </c>
      <c r="I20">
        <v>53.63</v>
      </c>
      <c r="J20" t="s">
        <v>295</v>
      </c>
    </row>
    <row r="21" spans="1:10" x14ac:dyDescent="0.25">
      <c r="A21" t="s">
        <v>259</v>
      </c>
      <c r="B21" t="s">
        <v>27</v>
      </c>
      <c r="C21" t="s">
        <v>294</v>
      </c>
      <c r="D21">
        <v>2204</v>
      </c>
      <c r="E21">
        <v>23.7</v>
      </c>
      <c r="F21">
        <v>3150</v>
      </c>
      <c r="G21">
        <v>64</v>
      </c>
      <c r="H21">
        <v>650</v>
      </c>
      <c r="I21">
        <v>40.14</v>
      </c>
      <c r="J21" t="s">
        <v>295</v>
      </c>
    </row>
    <row r="22" spans="1:10" x14ac:dyDescent="0.25">
      <c r="A22" t="s">
        <v>259</v>
      </c>
      <c r="B22" t="s">
        <v>27</v>
      </c>
      <c r="C22" t="s">
        <v>294</v>
      </c>
      <c r="D22">
        <v>2204</v>
      </c>
      <c r="E22">
        <v>23.7</v>
      </c>
      <c r="F22">
        <v>2800</v>
      </c>
      <c r="G22">
        <v>78</v>
      </c>
      <c r="H22">
        <v>498</v>
      </c>
      <c r="I22">
        <v>30.46</v>
      </c>
      <c r="J22" t="s">
        <v>295</v>
      </c>
    </row>
    <row r="23" spans="1:10" x14ac:dyDescent="0.25">
      <c r="A23" t="s">
        <v>259</v>
      </c>
      <c r="B23" t="s">
        <v>27</v>
      </c>
      <c r="C23" t="s">
        <v>294</v>
      </c>
      <c r="D23">
        <v>2204</v>
      </c>
      <c r="E23">
        <v>23.7</v>
      </c>
      <c r="F23">
        <v>2550</v>
      </c>
      <c r="G23">
        <v>86</v>
      </c>
      <c r="H23">
        <v>819</v>
      </c>
      <c r="I23">
        <v>34.880000000000003</v>
      </c>
      <c r="J23" t="s">
        <v>295</v>
      </c>
    </row>
    <row r="24" spans="1:10" x14ac:dyDescent="0.25">
      <c r="A24" t="s">
        <v>259</v>
      </c>
      <c r="B24" t="s">
        <v>27</v>
      </c>
      <c r="C24" t="s">
        <v>294</v>
      </c>
      <c r="D24">
        <v>2204</v>
      </c>
      <c r="E24">
        <v>23.7</v>
      </c>
      <c r="F24">
        <v>2300</v>
      </c>
      <c r="G24">
        <v>106</v>
      </c>
      <c r="H24">
        <v>783</v>
      </c>
      <c r="I24">
        <v>33.299999999999997</v>
      </c>
      <c r="J24" t="s">
        <v>295</v>
      </c>
    </row>
    <row r="25" spans="1:10" x14ac:dyDescent="0.25">
      <c r="A25" t="s">
        <v>259</v>
      </c>
      <c r="B25" t="s">
        <v>27</v>
      </c>
      <c r="C25" t="s">
        <v>294</v>
      </c>
      <c r="D25">
        <v>2204</v>
      </c>
      <c r="E25">
        <v>23.7</v>
      </c>
      <c r="F25">
        <v>1900</v>
      </c>
      <c r="G25">
        <v>152</v>
      </c>
      <c r="H25">
        <v>637</v>
      </c>
      <c r="I25">
        <v>27</v>
      </c>
      <c r="J25" t="s">
        <v>295</v>
      </c>
    </row>
    <row r="27" spans="1:10" x14ac:dyDescent="0.25">
      <c r="A27" t="s">
        <v>35</v>
      </c>
      <c r="D27">
        <v>1103</v>
      </c>
      <c r="E27">
        <v>4.8</v>
      </c>
      <c r="F27">
        <v>11000</v>
      </c>
    </row>
    <row r="28" spans="1:10" x14ac:dyDescent="0.25">
      <c r="A28" t="s">
        <v>35</v>
      </c>
      <c r="D28">
        <v>1103</v>
      </c>
      <c r="E28">
        <v>4.8</v>
      </c>
      <c r="F28">
        <v>8500</v>
      </c>
      <c r="G28">
        <v>170</v>
      </c>
      <c r="H28">
        <v>130</v>
      </c>
      <c r="I28">
        <v>10.8</v>
      </c>
    </row>
    <row r="29" spans="1:10" x14ac:dyDescent="0.25">
      <c r="A29" t="s">
        <v>35</v>
      </c>
      <c r="D29">
        <v>1206</v>
      </c>
      <c r="E29">
        <v>10.8</v>
      </c>
      <c r="F29">
        <v>4500</v>
      </c>
      <c r="G29">
        <v>168</v>
      </c>
      <c r="H29">
        <v>128</v>
      </c>
      <c r="I29">
        <v>10.7</v>
      </c>
    </row>
    <row r="30" spans="1:10" x14ac:dyDescent="0.25">
      <c r="A30" t="s">
        <v>35</v>
      </c>
      <c r="D30">
        <v>1206</v>
      </c>
      <c r="E30">
        <v>10.8</v>
      </c>
      <c r="F30">
        <v>3600</v>
      </c>
      <c r="G30">
        <v>235</v>
      </c>
      <c r="H30">
        <v>160</v>
      </c>
      <c r="I30">
        <v>10</v>
      </c>
    </row>
    <row r="31" spans="1:10" x14ac:dyDescent="0.25">
      <c r="A31" t="s">
        <v>35</v>
      </c>
      <c r="D31">
        <v>1305.5</v>
      </c>
      <c r="E31">
        <v>6.6</v>
      </c>
      <c r="F31">
        <v>5500</v>
      </c>
      <c r="G31">
        <v>195</v>
      </c>
      <c r="H31">
        <v>132</v>
      </c>
      <c r="I31">
        <v>8.9</v>
      </c>
    </row>
    <row r="32" spans="1:10" x14ac:dyDescent="0.25">
      <c r="A32" t="s">
        <v>35</v>
      </c>
      <c r="D32">
        <v>1305.5</v>
      </c>
      <c r="E32">
        <v>6.6</v>
      </c>
      <c r="F32">
        <v>3800</v>
      </c>
      <c r="G32">
        <v>365</v>
      </c>
      <c r="H32">
        <v>144</v>
      </c>
      <c r="I32">
        <v>6.5</v>
      </c>
    </row>
    <row r="33" spans="1:9" x14ac:dyDescent="0.25">
      <c r="A33" t="s">
        <v>35</v>
      </c>
      <c r="D33">
        <v>1305.5</v>
      </c>
      <c r="E33">
        <v>6.6</v>
      </c>
      <c r="F33">
        <v>2500</v>
      </c>
      <c r="G33">
        <v>780</v>
      </c>
      <c r="H33">
        <v>100</v>
      </c>
      <c r="I33">
        <v>4.4000000000000004</v>
      </c>
    </row>
    <row r="34" spans="1:9" x14ac:dyDescent="0.25">
      <c r="A34" t="s">
        <v>35</v>
      </c>
      <c r="C34" t="s">
        <v>292</v>
      </c>
      <c r="D34">
        <v>1404</v>
      </c>
      <c r="E34">
        <v>10.9</v>
      </c>
      <c r="F34">
        <v>3800</v>
      </c>
      <c r="G34">
        <v>126</v>
      </c>
      <c r="H34">
        <v>195</v>
      </c>
      <c r="I34">
        <v>13.2</v>
      </c>
    </row>
    <row r="35" spans="1:9" x14ac:dyDescent="0.25">
      <c r="A35" t="s">
        <v>35</v>
      </c>
      <c r="C35" t="s">
        <v>292</v>
      </c>
      <c r="D35">
        <v>1404</v>
      </c>
      <c r="E35">
        <v>10.9</v>
      </c>
      <c r="F35">
        <v>2800</v>
      </c>
      <c r="G35">
        <v>287</v>
      </c>
      <c r="H35">
        <v>130</v>
      </c>
      <c r="I35">
        <v>8.6</v>
      </c>
    </row>
    <row r="36" spans="1:9" x14ac:dyDescent="0.25">
      <c r="A36" t="s">
        <v>35</v>
      </c>
      <c r="D36">
        <v>1606</v>
      </c>
      <c r="E36">
        <v>17.73</v>
      </c>
      <c r="F36">
        <v>3750</v>
      </c>
      <c r="G36">
        <v>90</v>
      </c>
      <c r="H36">
        <v>315.8</v>
      </c>
      <c r="I36">
        <v>21.52</v>
      </c>
    </row>
    <row r="37" spans="1:9" x14ac:dyDescent="0.25">
      <c r="A37" t="s">
        <v>35</v>
      </c>
      <c r="D37">
        <v>1606</v>
      </c>
      <c r="E37">
        <v>17.940000000000001</v>
      </c>
      <c r="F37">
        <v>2750</v>
      </c>
      <c r="G37">
        <v>142</v>
      </c>
      <c r="H37">
        <v>329.3</v>
      </c>
      <c r="I37">
        <v>14.96</v>
      </c>
    </row>
    <row r="38" spans="1:9" x14ac:dyDescent="0.25">
      <c r="A38" t="s">
        <v>35</v>
      </c>
      <c r="D38">
        <v>2004</v>
      </c>
      <c r="E38">
        <v>17.2</v>
      </c>
      <c r="F38">
        <v>2950</v>
      </c>
      <c r="G38">
        <v>81</v>
      </c>
      <c r="H38">
        <v>495</v>
      </c>
      <c r="I38">
        <v>30.7</v>
      </c>
    </row>
    <row r="39" spans="1:9" x14ac:dyDescent="0.25">
      <c r="A39" t="s">
        <v>35</v>
      </c>
      <c r="D39">
        <v>2004</v>
      </c>
      <c r="E39">
        <v>17.2</v>
      </c>
      <c r="F39">
        <v>1750</v>
      </c>
      <c r="G39">
        <v>207</v>
      </c>
      <c r="H39">
        <v>375</v>
      </c>
      <c r="I39">
        <v>15.62</v>
      </c>
    </row>
    <row r="40" spans="1:9" x14ac:dyDescent="0.25">
      <c r="A40" t="s">
        <v>35</v>
      </c>
      <c r="D40">
        <v>2006</v>
      </c>
      <c r="E40">
        <v>22.5</v>
      </c>
      <c r="F40">
        <v>2500</v>
      </c>
      <c r="I40">
        <v>30</v>
      </c>
    </row>
    <row r="41" spans="1:9" x14ac:dyDescent="0.25">
      <c r="A41" t="s">
        <v>35</v>
      </c>
      <c r="D41">
        <v>2006</v>
      </c>
      <c r="E41">
        <v>22.5</v>
      </c>
      <c r="F41">
        <v>1950</v>
      </c>
      <c r="G41">
        <v>216</v>
      </c>
      <c r="H41">
        <v>491</v>
      </c>
      <c r="I41">
        <v>21.41</v>
      </c>
    </row>
    <row r="54" spans="1:10" x14ac:dyDescent="0.25">
      <c r="A54" t="s">
        <v>149</v>
      </c>
      <c r="B54" t="s">
        <v>11</v>
      </c>
      <c r="C54" t="s">
        <v>261</v>
      </c>
      <c r="D54">
        <v>1404</v>
      </c>
      <c r="E54">
        <v>9</v>
      </c>
      <c r="F54">
        <v>6000</v>
      </c>
      <c r="G54">
        <v>105</v>
      </c>
      <c r="H54">
        <v>180</v>
      </c>
      <c r="I54">
        <v>16</v>
      </c>
    </row>
    <row r="55" spans="1:10" x14ac:dyDescent="0.25">
      <c r="F55">
        <v>3750</v>
      </c>
      <c r="G55">
        <v>250</v>
      </c>
      <c r="H55">
        <v>150</v>
      </c>
      <c r="I55">
        <v>9.6</v>
      </c>
      <c r="J55" t="s">
        <v>150</v>
      </c>
    </row>
    <row r="56" spans="1:10" x14ac:dyDescent="0.25">
      <c r="F56">
        <v>2750</v>
      </c>
      <c r="G56">
        <v>400</v>
      </c>
      <c r="H56">
        <v>155</v>
      </c>
      <c r="I56">
        <v>6.9</v>
      </c>
    </row>
    <row r="63" spans="1:10" x14ac:dyDescent="0.25">
      <c r="A63" t="s">
        <v>50</v>
      </c>
      <c r="B63" t="s">
        <v>145</v>
      </c>
      <c r="C63" t="s">
        <v>260</v>
      </c>
      <c r="D63">
        <v>1404</v>
      </c>
      <c r="E63">
        <v>10</v>
      </c>
      <c r="F63">
        <v>4600</v>
      </c>
      <c r="G63">
        <v>159</v>
      </c>
      <c r="H63">
        <v>287.8</v>
      </c>
      <c r="I63">
        <v>17.989999999999998</v>
      </c>
    </row>
    <row r="64" spans="1:10" x14ac:dyDescent="0.25">
      <c r="F64">
        <v>4600</v>
      </c>
      <c r="G64">
        <v>142</v>
      </c>
      <c r="H64">
        <v>240</v>
      </c>
      <c r="I64">
        <v>15</v>
      </c>
    </row>
    <row r="65" spans="1:9" x14ac:dyDescent="0.25">
      <c r="F65">
        <v>3800</v>
      </c>
      <c r="G65">
        <v>142</v>
      </c>
      <c r="H65">
        <v>240</v>
      </c>
      <c r="I65">
        <v>15</v>
      </c>
    </row>
    <row r="66" spans="1:9" x14ac:dyDescent="0.25">
      <c r="D66">
        <v>1505</v>
      </c>
      <c r="E66">
        <v>14</v>
      </c>
      <c r="F66">
        <v>3750</v>
      </c>
      <c r="G66">
        <v>96</v>
      </c>
      <c r="H66">
        <v>200</v>
      </c>
      <c r="I66">
        <v>18</v>
      </c>
    </row>
    <row r="67" spans="1:9" x14ac:dyDescent="0.25">
      <c r="F67">
        <v>2650</v>
      </c>
      <c r="G67">
        <v>173</v>
      </c>
      <c r="H67">
        <v>336</v>
      </c>
      <c r="I67">
        <v>14</v>
      </c>
    </row>
    <row r="68" spans="1:9" x14ac:dyDescent="0.25">
      <c r="D68">
        <v>2004</v>
      </c>
      <c r="E68">
        <v>16.5</v>
      </c>
      <c r="F68">
        <v>3000</v>
      </c>
      <c r="G68">
        <v>88</v>
      </c>
      <c r="H68">
        <v>496</v>
      </c>
    </row>
    <row r="69" spans="1:9" x14ac:dyDescent="0.25">
      <c r="F69">
        <v>2500</v>
      </c>
      <c r="G69">
        <v>126</v>
      </c>
      <c r="H69">
        <v>620</v>
      </c>
    </row>
    <row r="70" spans="1:9" x14ac:dyDescent="0.25">
      <c r="F70">
        <v>1800</v>
      </c>
      <c r="G70">
        <v>208</v>
      </c>
      <c r="H70">
        <v>438</v>
      </c>
    </row>
    <row r="76" spans="1:9" x14ac:dyDescent="0.25">
      <c r="A76" t="s">
        <v>298</v>
      </c>
      <c r="B76" t="s">
        <v>299</v>
      </c>
      <c r="C76" t="s">
        <v>300</v>
      </c>
      <c r="D76">
        <v>2004</v>
      </c>
      <c r="E76">
        <v>16.399999999999999</v>
      </c>
      <c r="F76">
        <v>3000</v>
      </c>
      <c r="G76">
        <v>80</v>
      </c>
      <c r="H76">
        <v>810</v>
      </c>
      <c r="I76">
        <v>32</v>
      </c>
    </row>
    <row r="77" spans="1:9" x14ac:dyDescent="0.25">
      <c r="E77">
        <v>16.399999999999999</v>
      </c>
      <c r="F77">
        <v>2400</v>
      </c>
      <c r="G77">
        <v>110</v>
      </c>
      <c r="H77">
        <v>630</v>
      </c>
      <c r="I77">
        <v>25</v>
      </c>
    </row>
    <row r="78" spans="1:9" x14ac:dyDescent="0.25">
      <c r="E78">
        <v>16.600000000000001</v>
      </c>
      <c r="F78">
        <v>2000</v>
      </c>
      <c r="G78">
        <v>158</v>
      </c>
      <c r="H78">
        <v>580</v>
      </c>
      <c r="I78">
        <v>23</v>
      </c>
    </row>
    <row r="79" spans="1:9" x14ac:dyDescent="0.25">
      <c r="E79">
        <v>16.600000000000001</v>
      </c>
      <c r="F79">
        <v>1600</v>
      </c>
      <c r="G79">
        <v>200</v>
      </c>
      <c r="H79">
        <v>450</v>
      </c>
      <c r="I79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9D8B-107E-4C94-B2A5-9B2640CA72BA}">
  <dimension ref="A1:I3"/>
  <sheetViews>
    <sheetView workbookViewId="0">
      <pane ySplit="1" topLeftCell="A2" activePane="bottomLeft" state="frozen"/>
      <selection pane="bottomLeft" activeCell="I15" sqref="I15"/>
    </sheetView>
  </sheetViews>
  <sheetFormatPr defaultRowHeight="13.8" x14ac:dyDescent="0.25"/>
  <sheetData>
    <row r="1" spans="1:9" x14ac:dyDescent="0.25">
      <c r="A1" t="s">
        <v>125</v>
      </c>
      <c r="B1" t="s">
        <v>59</v>
      </c>
      <c r="C1" t="s">
        <v>126</v>
      </c>
      <c r="D1" t="s">
        <v>76</v>
      </c>
      <c r="E1" t="s">
        <v>127</v>
      </c>
      <c r="F1" t="s">
        <v>3</v>
      </c>
      <c r="G1" t="s">
        <v>5</v>
      </c>
      <c r="H1" t="s">
        <v>128</v>
      </c>
      <c r="I1" t="s">
        <v>123</v>
      </c>
    </row>
    <row r="2" spans="1:9" x14ac:dyDescent="0.25">
      <c r="A2" t="s">
        <v>142</v>
      </c>
      <c r="D2">
        <v>6500</v>
      </c>
    </row>
    <row r="3" spans="1:9" x14ac:dyDescent="0.25">
      <c r="A3" t="s">
        <v>143</v>
      </c>
      <c r="B3" t="s">
        <v>144</v>
      </c>
      <c r="C3">
        <v>21700</v>
      </c>
      <c r="D3">
        <v>6000</v>
      </c>
      <c r="E3">
        <v>6</v>
      </c>
      <c r="F3">
        <v>3.6</v>
      </c>
      <c r="G3">
        <v>20</v>
      </c>
      <c r="H3">
        <v>68</v>
      </c>
      <c r="I3" t="s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38A9-2A2C-498E-85EA-FF0082612F23}">
  <dimension ref="A1:Q413"/>
  <sheetViews>
    <sheetView zoomScaleNormal="100" workbookViewId="0">
      <pane ySplit="1" topLeftCell="A62" activePane="bottomLeft" state="frozen"/>
      <selection activeCell="C1" sqref="C1"/>
      <selection pane="bottomLeft" activeCell="S73" sqref="S73:S88"/>
    </sheetView>
  </sheetViews>
  <sheetFormatPr defaultRowHeight="13.8" x14ac:dyDescent="0.25"/>
  <sheetData>
    <row r="1" spans="1:16" x14ac:dyDescent="0.25">
      <c r="B1" t="s">
        <v>2</v>
      </c>
      <c r="C1" t="s">
        <v>117</v>
      </c>
      <c r="D1" t="s">
        <v>3</v>
      </c>
      <c r="E1" t="s">
        <v>4</v>
      </c>
      <c r="F1" t="s">
        <v>62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M1" t="s">
        <v>266</v>
      </c>
      <c r="P1" t="s">
        <v>275</v>
      </c>
    </row>
    <row r="2" spans="1:16" s="1" customFormat="1" x14ac:dyDescent="0.25">
      <c r="A2" s="1">
        <v>1202.5</v>
      </c>
      <c r="B2" s="13" t="s">
        <v>10</v>
      </c>
      <c r="C2" s="5">
        <v>135</v>
      </c>
      <c r="D2" s="13" t="s">
        <v>14</v>
      </c>
      <c r="E2" s="13" t="s">
        <v>15</v>
      </c>
      <c r="F2" s="1">
        <v>65</v>
      </c>
      <c r="G2" s="1">
        <v>1.1499999999999999</v>
      </c>
      <c r="H2" s="1">
        <v>4.3</v>
      </c>
      <c r="I2" s="1">
        <f t="shared" ref="I2:I33" si="0">H2-G2^2*C2/1000</f>
        <v>4.1214624999999998</v>
      </c>
      <c r="J2" s="1">
        <v>44</v>
      </c>
      <c r="M2" s="1">
        <f>1/(((2/PI()/1.225)^(1/2))/F2*1000*((J2/1000*9.8)^(3/2)))</f>
        <v>0.31843677084350391</v>
      </c>
      <c r="N2" s="1">
        <f>1/I2</f>
        <v>0.24263231801817925</v>
      </c>
    </row>
    <row r="3" spans="1:16" x14ac:dyDescent="0.25">
      <c r="A3" t="s">
        <v>11</v>
      </c>
      <c r="B3" s="13"/>
      <c r="C3" s="2">
        <v>135</v>
      </c>
      <c r="D3" s="13"/>
      <c r="E3" s="13"/>
      <c r="F3">
        <v>65</v>
      </c>
      <c r="G3">
        <v>4.9000000000000004</v>
      </c>
      <c r="H3">
        <v>18.100000000000001</v>
      </c>
      <c r="I3">
        <f t="shared" si="0"/>
        <v>14.858650000000001</v>
      </c>
      <c r="J3">
        <v>116</v>
      </c>
      <c r="M3">
        <f t="shared" ref="M3:M32" si="1">1/(((2/PI()/1.225)^(1/2))/F3*1000*((J3/1000*9.8)^(3/2)))</f>
        <v>7.4390117062749839E-2</v>
      </c>
      <c r="N3">
        <f t="shared" ref="N3:N32" si="2">1/I3</f>
        <v>6.7300865152621528E-2</v>
      </c>
    </row>
    <row r="4" spans="1:16" x14ac:dyDescent="0.25">
      <c r="A4" t="s">
        <v>12</v>
      </c>
      <c r="B4" s="13"/>
      <c r="C4" s="2">
        <v>135</v>
      </c>
      <c r="D4" s="13" t="s">
        <v>17</v>
      </c>
      <c r="E4" s="13"/>
      <c r="F4">
        <v>65</v>
      </c>
      <c r="G4">
        <v>2.4</v>
      </c>
      <c r="H4">
        <v>17.8</v>
      </c>
      <c r="I4">
        <f t="shared" si="0"/>
        <v>17.022400000000001</v>
      </c>
      <c r="J4">
        <v>86</v>
      </c>
      <c r="M4">
        <f t="shared" si="1"/>
        <v>0.11653450857834496</v>
      </c>
      <c r="N4">
        <f t="shared" si="2"/>
        <v>5.8746122755898106E-2</v>
      </c>
    </row>
    <row r="5" spans="1:16" x14ac:dyDescent="0.25">
      <c r="B5" s="13"/>
      <c r="C5" s="2">
        <v>135</v>
      </c>
      <c r="D5" s="13"/>
      <c r="E5" s="13"/>
      <c r="F5">
        <v>65</v>
      </c>
      <c r="G5">
        <v>9.6</v>
      </c>
      <c r="H5">
        <v>71</v>
      </c>
      <c r="I5">
        <f t="shared" si="0"/>
        <v>58.558399999999999</v>
      </c>
      <c r="J5">
        <v>223</v>
      </c>
      <c r="M5">
        <f t="shared" si="1"/>
        <v>2.7909042138502902E-2</v>
      </c>
      <c r="N5">
        <f t="shared" si="2"/>
        <v>1.7076969316101535E-2</v>
      </c>
    </row>
    <row r="6" spans="1:16" x14ac:dyDescent="0.25">
      <c r="B6" s="13"/>
      <c r="C6" s="2">
        <v>135</v>
      </c>
      <c r="D6" s="13" t="s">
        <v>14</v>
      </c>
      <c r="E6" s="13" t="s">
        <v>18</v>
      </c>
      <c r="F6">
        <v>65</v>
      </c>
      <c r="G6">
        <v>1.7</v>
      </c>
      <c r="H6">
        <v>6.3</v>
      </c>
      <c r="I6">
        <f t="shared" si="0"/>
        <v>5.9098499999999996</v>
      </c>
      <c r="J6">
        <v>44</v>
      </c>
      <c r="M6">
        <f t="shared" si="1"/>
        <v>0.31843677084350391</v>
      </c>
      <c r="N6">
        <f t="shared" si="2"/>
        <v>0.16920903237814836</v>
      </c>
    </row>
    <row r="7" spans="1:16" x14ac:dyDescent="0.25">
      <c r="B7" s="13"/>
      <c r="C7" s="2">
        <v>135</v>
      </c>
      <c r="D7" s="13"/>
      <c r="E7" s="13"/>
      <c r="F7">
        <v>65</v>
      </c>
      <c r="G7">
        <v>5.9</v>
      </c>
      <c r="H7">
        <v>21.8</v>
      </c>
      <c r="I7">
        <f t="shared" si="0"/>
        <v>17.100650000000002</v>
      </c>
      <c r="J7">
        <v>118</v>
      </c>
      <c r="M7">
        <f t="shared" si="1"/>
        <v>7.2506879556886408E-2</v>
      </c>
      <c r="N7">
        <f t="shared" si="2"/>
        <v>5.8477309342042545E-2</v>
      </c>
    </row>
    <row r="8" spans="1:16" x14ac:dyDescent="0.25">
      <c r="B8" s="13"/>
      <c r="C8" s="2">
        <v>135</v>
      </c>
      <c r="D8" s="13" t="s">
        <v>17</v>
      </c>
      <c r="E8" s="13"/>
      <c r="F8">
        <v>65</v>
      </c>
      <c r="G8">
        <v>3.5</v>
      </c>
      <c r="H8">
        <v>25.9</v>
      </c>
      <c r="I8">
        <f t="shared" si="0"/>
        <v>24.24625</v>
      </c>
      <c r="J8">
        <v>89</v>
      </c>
      <c r="M8">
        <f t="shared" si="1"/>
        <v>0.11069225018468952</v>
      </c>
      <c r="N8">
        <f t="shared" si="2"/>
        <v>4.1243491261535287E-2</v>
      </c>
    </row>
    <row r="9" spans="1:16" x14ac:dyDescent="0.25">
      <c r="B9" s="13"/>
      <c r="C9" s="2">
        <v>135</v>
      </c>
      <c r="D9" s="13"/>
      <c r="E9" s="13"/>
      <c r="F9">
        <v>65</v>
      </c>
      <c r="G9">
        <v>12</v>
      </c>
      <c r="H9">
        <v>88.8</v>
      </c>
      <c r="I9">
        <f t="shared" si="0"/>
        <v>69.36</v>
      </c>
      <c r="J9">
        <v>227</v>
      </c>
      <c r="M9">
        <f t="shared" si="1"/>
        <v>2.7174617521842716E-2</v>
      </c>
      <c r="N9">
        <f t="shared" si="2"/>
        <v>1.4417531718569781E-2</v>
      </c>
    </row>
    <row r="10" spans="1:16" x14ac:dyDescent="0.25">
      <c r="B10" s="13"/>
      <c r="C10" s="2">
        <v>135</v>
      </c>
      <c r="D10" s="13" t="s">
        <v>14</v>
      </c>
      <c r="E10" s="13" t="s">
        <v>19</v>
      </c>
      <c r="F10">
        <v>76.2</v>
      </c>
      <c r="G10">
        <v>2.2999999999999998</v>
      </c>
      <c r="H10">
        <v>8.5</v>
      </c>
      <c r="I10">
        <f t="shared" si="0"/>
        <v>7.7858499999999999</v>
      </c>
      <c r="J10">
        <v>61</v>
      </c>
      <c r="M10">
        <f t="shared" si="1"/>
        <v>0.22869100769402192</v>
      </c>
      <c r="N10">
        <f t="shared" si="2"/>
        <v>0.12843812814272046</v>
      </c>
    </row>
    <row r="11" spans="1:16" x14ac:dyDescent="0.25">
      <c r="B11" s="13"/>
      <c r="C11" s="2">
        <v>135</v>
      </c>
      <c r="D11" s="13"/>
      <c r="E11" s="13"/>
      <c r="F11">
        <v>76.2</v>
      </c>
      <c r="G11">
        <v>8.4</v>
      </c>
      <c r="H11">
        <v>31.1</v>
      </c>
      <c r="I11">
        <f t="shared" si="0"/>
        <v>21.574400000000001</v>
      </c>
      <c r="J11">
        <v>136</v>
      </c>
      <c r="M11">
        <f t="shared" si="1"/>
        <v>6.8696637180325898E-2</v>
      </c>
      <c r="N11">
        <f t="shared" si="2"/>
        <v>4.6351231088697716E-2</v>
      </c>
    </row>
    <row r="12" spans="1:16" x14ac:dyDescent="0.25">
      <c r="B12" s="13"/>
      <c r="C12" s="2">
        <v>135</v>
      </c>
      <c r="D12" s="13" t="s">
        <v>14</v>
      </c>
      <c r="E12" s="13" t="s">
        <v>20</v>
      </c>
      <c r="F12">
        <v>76.5</v>
      </c>
      <c r="G12">
        <v>2.2999999999999998</v>
      </c>
      <c r="H12">
        <v>8.5</v>
      </c>
      <c r="I12">
        <f t="shared" si="0"/>
        <v>7.7858499999999999</v>
      </c>
      <c r="J12">
        <v>59</v>
      </c>
      <c r="M12">
        <f t="shared" si="1"/>
        <v>0.24136388465398914</v>
      </c>
      <c r="N12">
        <f t="shared" si="2"/>
        <v>0.12843812814272046</v>
      </c>
    </row>
    <row r="13" spans="1:16" x14ac:dyDescent="0.25">
      <c r="B13" s="13"/>
      <c r="C13" s="2">
        <v>135</v>
      </c>
      <c r="D13" s="13"/>
      <c r="E13" s="13"/>
      <c r="F13">
        <v>76.5</v>
      </c>
      <c r="G13">
        <v>8.3000000000000007</v>
      </c>
      <c r="H13">
        <v>30.7</v>
      </c>
      <c r="I13">
        <f t="shared" si="0"/>
        <v>21.399849999999997</v>
      </c>
      <c r="J13">
        <v>133</v>
      </c>
      <c r="M13">
        <f t="shared" si="1"/>
        <v>7.1313679196099281E-2</v>
      </c>
      <c r="N13">
        <f t="shared" si="2"/>
        <v>4.6729299504435787E-2</v>
      </c>
    </row>
    <row r="14" spans="1:16" x14ac:dyDescent="0.25">
      <c r="B14" s="13" t="s">
        <v>13</v>
      </c>
      <c r="C14" s="2">
        <v>300</v>
      </c>
      <c r="D14" s="13" t="s">
        <v>22</v>
      </c>
      <c r="E14" s="13" t="s">
        <v>15</v>
      </c>
      <c r="F14">
        <v>65</v>
      </c>
      <c r="G14">
        <v>0.65</v>
      </c>
      <c r="H14">
        <v>7.2</v>
      </c>
      <c r="I14">
        <f t="shared" si="0"/>
        <v>7.0732499999999998</v>
      </c>
      <c r="J14">
        <v>52</v>
      </c>
      <c r="M14">
        <f t="shared" si="1"/>
        <v>0.24785472955808482</v>
      </c>
      <c r="N14">
        <f t="shared" si="2"/>
        <v>0.14137772593927828</v>
      </c>
    </row>
    <row r="15" spans="1:16" x14ac:dyDescent="0.25">
      <c r="B15" s="13"/>
      <c r="C15" s="2">
        <v>300</v>
      </c>
      <c r="D15" s="13"/>
      <c r="E15" s="13"/>
      <c r="F15">
        <v>65</v>
      </c>
      <c r="G15">
        <v>3.6</v>
      </c>
      <c r="H15">
        <v>40</v>
      </c>
      <c r="I15">
        <f t="shared" si="0"/>
        <v>36.112000000000002</v>
      </c>
      <c r="J15">
        <v>158</v>
      </c>
      <c r="M15">
        <f t="shared" si="1"/>
        <v>4.6796847285345063E-2</v>
      </c>
      <c r="N15">
        <f t="shared" si="2"/>
        <v>2.7691626052281787E-2</v>
      </c>
    </row>
    <row r="16" spans="1:16" x14ac:dyDescent="0.25">
      <c r="B16" s="13"/>
      <c r="C16" s="2">
        <v>300</v>
      </c>
      <c r="D16" s="13" t="s">
        <v>25</v>
      </c>
      <c r="E16" s="13"/>
      <c r="F16">
        <v>65</v>
      </c>
      <c r="G16">
        <v>1.3</v>
      </c>
      <c r="H16">
        <v>19.2</v>
      </c>
      <c r="I16">
        <f t="shared" si="0"/>
        <v>18.692999999999998</v>
      </c>
      <c r="J16">
        <v>87</v>
      </c>
      <c r="M16">
        <f t="shared" si="1"/>
        <v>0.11453107762993704</v>
      </c>
      <c r="N16">
        <f t="shared" si="2"/>
        <v>5.3495961054940359E-2</v>
      </c>
    </row>
    <row r="17" spans="1:14" x14ac:dyDescent="0.25">
      <c r="B17" s="13"/>
      <c r="C17" s="2">
        <v>300</v>
      </c>
      <c r="D17" s="13"/>
      <c r="E17" s="13"/>
      <c r="F17">
        <v>65</v>
      </c>
      <c r="G17">
        <v>5</v>
      </c>
      <c r="H17">
        <v>74</v>
      </c>
      <c r="I17">
        <f t="shared" si="0"/>
        <v>66.5</v>
      </c>
      <c r="J17">
        <v>225</v>
      </c>
      <c r="M17">
        <f t="shared" si="1"/>
        <v>2.7537749740428216E-2</v>
      </c>
      <c r="N17">
        <f t="shared" si="2"/>
        <v>1.5037593984962405E-2</v>
      </c>
    </row>
    <row r="18" spans="1:14" x14ac:dyDescent="0.25">
      <c r="B18" s="13"/>
      <c r="C18" s="2">
        <v>300</v>
      </c>
      <c r="D18" s="13" t="s">
        <v>22</v>
      </c>
      <c r="E18" s="13" t="s">
        <v>18</v>
      </c>
      <c r="F18">
        <v>65</v>
      </c>
      <c r="G18">
        <v>1.05</v>
      </c>
      <c r="H18">
        <v>11.7</v>
      </c>
      <c r="I18">
        <f t="shared" si="0"/>
        <v>11.369249999999999</v>
      </c>
      <c r="J18">
        <v>66</v>
      </c>
      <c r="M18">
        <f t="shared" si="1"/>
        <v>0.17333502309025786</v>
      </c>
      <c r="N18">
        <f t="shared" si="2"/>
        <v>8.7956549464564507E-2</v>
      </c>
    </row>
    <row r="19" spans="1:14" x14ac:dyDescent="0.25">
      <c r="B19" s="13"/>
      <c r="C19" s="2">
        <v>300</v>
      </c>
      <c r="D19" s="13"/>
      <c r="E19" s="13"/>
      <c r="F19">
        <v>65</v>
      </c>
      <c r="G19">
        <v>4.5999999999999996</v>
      </c>
      <c r="H19">
        <v>51.1</v>
      </c>
      <c r="I19">
        <f t="shared" si="0"/>
        <v>44.752000000000002</v>
      </c>
      <c r="J19">
        <v>177</v>
      </c>
      <c r="M19">
        <f t="shared" si="1"/>
        <v>3.9467746167957465E-2</v>
      </c>
      <c r="N19">
        <f t="shared" si="2"/>
        <v>2.234537003932785E-2</v>
      </c>
    </row>
    <row r="20" spans="1:14" x14ac:dyDescent="0.25">
      <c r="B20" s="13"/>
      <c r="C20" s="2">
        <v>300</v>
      </c>
      <c r="D20" s="13" t="s">
        <v>25</v>
      </c>
      <c r="E20" s="13"/>
      <c r="F20">
        <v>65</v>
      </c>
      <c r="G20">
        <v>1.8</v>
      </c>
      <c r="H20">
        <v>26.6</v>
      </c>
      <c r="I20">
        <f t="shared" si="0"/>
        <v>25.628</v>
      </c>
      <c r="J20">
        <v>91</v>
      </c>
      <c r="M20">
        <f t="shared" si="1"/>
        <v>0.10706317970316125</v>
      </c>
      <c r="N20">
        <f t="shared" si="2"/>
        <v>3.9019822069611361E-2</v>
      </c>
    </row>
    <row r="21" spans="1:14" x14ac:dyDescent="0.25">
      <c r="B21" s="13"/>
      <c r="C21" s="2">
        <v>300</v>
      </c>
      <c r="D21" s="13"/>
      <c r="E21" s="13"/>
      <c r="F21">
        <v>65</v>
      </c>
      <c r="G21">
        <v>6.1</v>
      </c>
      <c r="H21">
        <v>90.3</v>
      </c>
      <c r="I21">
        <f t="shared" si="0"/>
        <v>79.137</v>
      </c>
      <c r="J21">
        <v>231</v>
      </c>
      <c r="M21">
        <f t="shared" si="1"/>
        <v>2.6471847736012039E-2</v>
      </c>
      <c r="N21">
        <f t="shared" si="2"/>
        <v>1.2636314239862516E-2</v>
      </c>
    </row>
    <row r="22" spans="1:14" x14ac:dyDescent="0.25">
      <c r="B22" s="13"/>
      <c r="C22" s="2">
        <v>300</v>
      </c>
      <c r="D22" s="13" t="s">
        <v>17</v>
      </c>
      <c r="E22" s="13" t="s">
        <v>19</v>
      </c>
      <c r="F22">
        <v>76.2</v>
      </c>
      <c r="G22">
        <v>1.2</v>
      </c>
      <c r="H22">
        <v>8.9</v>
      </c>
      <c r="I22">
        <f t="shared" si="0"/>
        <v>8.468</v>
      </c>
      <c r="J22">
        <v>63</v>
      </c>
      <c r="M22">
        <f t="shared" si="1"/>
        <v>0.21788785148894815</v>
      </c>
      <c r="N22">
        <f t="shared" si="2"/>
        <v>0.11809163911195088</v>
      </c>
    </row>
    <row r="23" spans="1:14" x14ac:dyDescent="0.25">
      <c r="B23" s="13"/>
      <c r="C23" s="2">
        <v>300</v>
      </c>
      <c r="D23" s="13"/>
      <c r="E23" s="13"/>
      <c r="F23">
        <v>76.2</v>
      </c>
      <c r="G23">
        <v>4.2</v>
      </c>
      <c r="H23">
        <v>31.1</v>
      </c>
      <c r="I23">
        <f t="shared" si="0"/>
        <v>25.808</v>
      </c>
      <c r="J23">
        <v>138</v>
      </c>
      <c r="M23">
        <f t="shared" si="1"/>
        <v>6.720865605380745E-2</v>
      </c>
      <c r="N23">
        <f t="shared" si="2"/>
        <v>3.8747675139491629E-2</v>
      </c>
    </row>
    <row r="24" spans="1:14" x14ac:dyDescent="0.25">
      <c r="B24" s="13"/>
      <c r="C24" s="2">
        <v>300</v>
      </c>
      <c r="D24" s="13" t="s">
        <v>22</v>
      </c>
      <c r="E24" s="13"/>
      <c r="F24">
        <v>76.2</v>
      </c>
      <c r="G24">
        <v>1.8</v>
      </c>
      <c r="H24">
        <v>20</v>
      </c>
      <c r="I24">
        <f t="shared" si="0"/>
        <v>19.027999999999999</v>
      </c>
      <c r="J24">
        <v>95</v>
      </c>
      <c r="M24">
        <f t="shared" si="1"/>
        <v>0.11766801650264777</v>
      </c>
      <c r="N24">
        <f t="shared" si="2"/>
        <v>5.2554130754677318E-2</v>
      </c>
    </row>
    <row r="25" spans="1:14" x14ac:dyDescent="0.25">
      <c r="B25" s="13"/>
      <c r="C25" s="2">
        <v>300</v>
      </c>
      <c r="D25" s="13"/>
      <c r="E25" s="13"/>
      <c r="F25">
        <v>76.2</v>
      </c>
      <c r="G25">
        <v>6.3</v>
      </c>
      <c r="H25">
        <v>69.900000000000006</v>
      </c>
      <c r="I25">
        <f t="shared" si="0"/>
        <v>57.993000000000009</v>
      </c>
      <c r="J25">
        <v>208</v>
      </c>
      <c r="M25">
        <f t="shared" si="1"/>
        <v>3.6320250754473198E-2</v>
      </c>
      <c r="N25">
        <f t="shared" si="2"/>
        <v>1.7243460417636608E-2</v>
      </c>
    </row>
    <row r="26" spans="1:14" x14ac:dyDescent="0.25">
      <c r="B26" s="13"/>
      <c r="C26" s="2">
        <v>300</v>
      </c>
      <c r="D26" s="13" t="s">
        <v>17</v>
      </c>
      <c r="E26" s="13" t="s">
        <v>20</v>
      </c>
      <c r="F26">
        <v>76.5</v>
      </c>
      <c r="G26">
        <v>1.2</v>
      </c>
      <c r="H26">
        <v>8.9</v>
      </c>
      <c r="I26">
        <f t="shared" si="0"/>
        <v>8.468</v>
      </c>
      <c r="J26">
        <v>61</v>
      </c>
      <c r="M26">
        <f t="shared" si="1"/>
        <v>0.22959136599202984</v>
      </c>
      <c r="N26">
        <f t="shared" si="2"/>
        <v>0.11809163911195088</v>
      </c>
    </row>
    <row r="27" spans="1:14" x14ac:dyDescent="0.25">
      <c r="B27" s="13"/>
      <c r="C27" s="2">
        <v>300</v>
      </c>
      <c r="D27" s="13"/>
      <c r="E27" s="13"/>
      <c r="F27">
        <v>76.5</v>
      </c>
      <c r="G27">
        <v>4.0999999999999996</v>
      </c>
      <c r="H27">
        <v>30.3</v>
      </c>
      <c r="I27">
        <f t="shared" si="0"/>
        <v>25.257000000000001</v>
      </c>
      <c r="J27">
        <v>135</v>
      </c>
      <c r="M27">
        <f t="shared" si="1"/>
        <v>6.9734814781692439E-2</v>
      </c>
      <c r="N27">
        <f t="shared" si="2"/>
        <v>3.9592984123213361E-2</v>
      </c>
    </row>
    <row r="28" spans="1:14" x14ac:dyDescent="0.25">
      <c r="B28" s="13"/>
      <c r="C28" s="2">
        <v>300</v>
      </c>
      <c r="D28" s="13" t="s">
        <v>22</v>
      </c>
      <c r="E28" s="13"/>
      <c r="F28">
        <v>76.5</v>
      </c>
      <c r="G28">
        <v>1.7</v>
      </c>
      <c r="H28">
        <v>18.899999999999999</v>
      </c>
      <c r="I28">
        <f t="shared" si="0"/>
        <v>18.032999999999998</v>
      </c>
      <c r="J28">
        <v>90</v>
      </c>
      <c r="M28">
        <f t="shared" si="1"/>
        <v>0.12811103514198033</v>
      </c>
      <c r="N28">
        <f t="shared" si="2"/>
        <v>5.5453890090389847E-2</v>
      </c>
    </row>
    <row r="29" spans="1:14" x14ac:dyDescent="0.25">
      <c r="B29" s="13"/>
      <c r="C29" s="2">
        <v>300</v>
      </c>
      <c r="D29" s="13"/>
      <c r="E29" s="13"/>
      <c r="F29">
        <v>76.5</v>
      </c>
      <c r="G29">
        <v>6.2</v>
      </c>
      <c r="H29">
        <v>68.8</v>
      </c>
      <c r="I29">
        <f t="shared" si="0"/>
        <v>57.267999999999994</v>
      </c>
      <c r="J29">
        <v>201</v>
      </c>
      <c r="M29">
        <f t="shared" si="1"/>
        <v>3.8384529213376435E-2</v>
      </c>
      <c r="N29">
        <f t="shared" si="2"/>
        <v>1.7461758748341136E-2</v>
      </c>
    </row>
    <row r="30" spans="1:14" s="1" customFormat="1" x14ac:dyDescent="0.25">
      <c r="A30" s="1">
        <v>1203</v>
      </c>
      <c r="B30" s="13" t="s">
        <v>10</v>
      </c>
      <c r="C30" s="1">
        <v>100</v>
      </c>
      <c r="D30" s="13" t="s">
        <v>14</v>
      </c>
      <c r="E30" s="13" t="s">
        <v>15</v>
      </c>
      <c r="F30" s="1">
        <v>65</v>
      </c>
      <c r="G30" s="1">
        <v>1.3</v>
      </c>
      <c r="H30" s="1">
        <v>4.8</v>
      </c>
      <c r="I30" s="1">
        <f t="shared" si="0"/>
        <v>4.6310000000000002</v>
      </c>
      <c r="J30" s="1">
        <v>51</v>
      </c>
      <c r="M30" s="1">
        <f t="shared" si="1"/>
        <v>0.25518019315016338</v>
      </c>
      <c r="N30" s="1">
        <f t="shared" si="2"/>
        <v>0.21593608291945582</v>
      </c>
    </row>
    <row r="31" spans="1:14" x14ac:dyDescent="0.25">
      <c r="A31" t="s">
        <v>11</v>
      </c>
      <c r="B31" s="13"/>
      <c r="C31">
        <v>100</v>
      </c>
      <c r="D31" s="13"/>
      <c r="E31" s="13"/>
      <c r="F31">
        <v>65</v>
      </c>
      <c r="G31">
        <v>5.4</v>
      </c>
      <c r="H31">
        <v>20</v>
      </c>
      <c r="I31">
        <f t="shared" si="0"/>
        <v>17.084</v>
      </c>
      <c r="J31">
        <v>133</v>
      </c>
      <c r="M31">
        <f t="shared" si="1"/>
        <v>6.0593322192764101E-2</v>
      </c>
      <c r="N31">
        <f t="shared" si="2"/>
        <v>5.8534301100444865E-2</v>
      </c>
    </row>
    <row r="32" spans="1:14" x14ac:dyDescent="0.25">
      <c r="A32" t="s">
        <v>16</v>
      </c>
      <c r="B32" s="13"/>
      <c r="C32">
        <v>100</v>
      </c>
      <c r="D32" s="13" t="s">
        <v>17</v>
      </c>
      <c r="E32" s="13"/>
      <c r="F32">
        <v>65</v>
      </c>
      <c r="G32">
        <v>2.6</v>
      </c>
      <c r="H32">
        <v>19.2</v>
      </c>
      <c r="I32">
        <f t="shared" si="0"/>
        <v>18.524000000000001</v>
      </c>
      <c r="J32">
        <v>99</v>
      </c>
      <c r="M32">
        <f t="shared" si="1"/>
        <v>9.4351635805482656E-2</v>
      </c>
      <c r="N32">
        <f t="shared" si="2"/>
        <v>5.3984020729863955E-2</v>
      </c>
    </row>
    <row r="33" spans="2:14" x14ac:dyDescent="0.25">
      <c r="B33" s="13"/>
      <c r="C33">
        <v>100</v>
      </c>
      <c r="D33" s="13"/>
      <c r="E33" s="13"/>
      <c r="F33">
        <v>65</v>
      </c>
      <c r="G33">
        <v>10.6</v>
      </c>
      <c r="H33">
        <v>78.400000000000006</v>
      </c>
      <c r="I33">
        <f t="shared" si="0"/>
        <v>67.164000000000001</v>
      </c>
      <c r="J33">
        <v>256</v>
      </c>
      <c r="M33">
        <f t="shared" ref="M33:M96" si="3">1/(((2/PI()/1.225)^(1/2))/F33*1000*((J33/1000*9.8)^(3/2)))</f>
        <v>2.2690406585435849E-2</v>
      </c>
      <c r="N33">
        <f t="shared" ref="N33:N96" si="4">1/I33</f>
        <v>1.4888928592698469E-2</v>
      </c>
    </row>
    <row r="34" spans="2:14" x14ac:dyDescent="0.25">
      <c r="B34" s="13"/>
      <c r="C34">
        <v>100</v>
      </c>
      <c r="D34" s="13" t="s">
        <v>14</v>
      </c>
      <c r="E34" s="13" t="s">
        <v>18</v>
      </c>
      <c r="F34">
        <v>65</v>
      </c>
      <c r="G34">
        <v>1.9</v>
      </c>
      <c r="H34">
        <v>7</v>
      </c>
      <c r="I34">
        <f t="shared" ref="I34:I65" si="5">H34-G34^2*C34/1000</f>
        <v>6.6390000000000002</v>
      </c>
      <c r="J34">
        <v>51</v>
      </c>
      <c r="M34">
        <f t="shared" si="3"/>
        <v>0.25518019315016338</v>
      </c>
      <c r="N34">
        <f t="shared" si="4"/>
        <v>0.15062509414068384</v>
      </c>
    </row>
    <row r="35" spans="2:14" x14ac:dyDescent="0.25">
      <c r="B35" s="13"/>
      <c r="C35">
        <v>100</v>
      </c>
      <c r="D35" s="13"/>
      <c r="E35" s="13"/>
      <c r="F35">
        <v>65</v>
      </c>
      <c r="G35">
        <v>6.5</v>
      </c>
      <c r="H35">
        <v>24.1</v>
      </c>
      <c r="I35">
        <f t="shared" si="5"/>
        <v>19.875</v>
      </c>
      <c r="J35">
        <v>136</v>
      </c>
      <c r="M35">
        <f t="shared" si="3"/>
        <v>5.8599493657758316E-2</v>
      </c>
      <c r="N35">
        <f t="shared" si="4"/>
        <v>5.0314465408805034E-2</v>
      </c>
    </row>
    <row r="36" spans="2:14" x14ac:dyDescent="0.25">
      <c r="B36" s="13"/>
      <c r="C36">
        <v>100</v>
      </c>
      <c r="D36" s="13" t="s">
        <v>17</v>
      </c>
      <c r="E36" s="13"/>
      <c r="F36">
        <v>65</v>
      </c>
      <c r="G36">
        <v>3.9</v>
      </c>
      <c r="H36">
        <v>28.9</v>
      </c>
      <c r="I36">
        <f t="shared" si="5"/>
        <v>27.378999999999998</v>
      </c>
      <c r="J36">
        <v>103</v>
      </c>
      <c r="M36">
        <f t="shared" si="3"/>
        <v>8.8909135800744832E-2</v>
      </c>
      <c r="N36">
        <f t="shared" si="4"/>
        <v>3.6524343474926044E-2</v>
      </c>
    </row>
    <row r="37" spans="2:14" x14ac:dyDescent="0.25">
      <c r="B37" s="13"/>
      <c r="C37">
        <v>100</v>
      </c>
      <c r="D37" s="13"/>
      <c r="E37" s="13"/>
      <c r="F37">
        <v>65</v>
      </c>
      <c r="G37">
        <v>13.2</v>
      </c>
      <c r="H37">
        <v>97.7</v>
      </c>
      <c r="I37">
        <f t="shared" si="5"/>
        <v>80.27600000000001</v>
      </c>
      <c r="J37">
        <v>261</v>
      </c>
      <c r="M37">
        <f t="shared" si="3"/>
        <v>2.2041516166740688E-2</v>
      </c>
      <c r="N37">
        <f t="shared" si="4"/>
        <v>1.2457023269719467E-2</v>
      </c>
    </row>
    <row r="38" spans="2:14" x14ac:dyDescent="0.25">
      <c r="B38" s="13"/>
      <c r="C38">
        <v>100</v>
      </c>
      <c r="D38" s="13" t="s">
        <v>14</v>
      </c>
      <c r="E38" s="13" t="s">
        <v>19</v>
      </c>
      <c r="F38">
        <v>76.2</v>
      </c>
      <c r="G38">
        <v>2.5</v>
      </c>
      <c r="H38">
        <v>9.3000000000000007</v>
      </c>
      <c r="I38">
        <f t="shared" si="5"/>
        <v>8.6750000000000007</v>
      </c>
      <c r="J38">
        <v>70</v>
      </c>
      <c r="M38">
        <f t="shared" si="3"/>
        <v>0.18603590900010825</v>
      </c>
      <c r="N38">
        <f t="shared" si="4"/>
        <v>0.11527377521613832</v>
      </c>
    </row>
    <row r="39" spans="2:14" x14ac:dyDescent="0.25">
      <c r="B39" s="13"/>
      <c r="C39">
        <v>100</v>
      </c>
      <c r="D39" s="13"/>
      <c r="E39" s="13"/>
      <c r="F39">
        <v>76.2</v>
      </c>
      <c r="G39">
        <v>9.1999999999999993</v>
      </c>
      <c r="H39">
        <v>34</v>
      </c>
      <c r="I39">
        <f t="shared" si="5"/>
        <v>25.536000000000001</v>
      </c>
      <c r="J39">
        <v>156</v>
      </c>
      <c r="M39">
        <f t="shared" si="3"/>
        <v>5.591868413367948E-2</v>
      </c>
      <c r="N39">
        <f t="shared" si="4"/>
        <v>3.9160401002506263E-2</v>
      </c>
    </row>
    <row r="40" spans="2:14" x14ac:dyDescent="0.25">
      <c r="B40" s="13"/>
      <c r="C40">
        <v>100</v>
      </c>
      <c r="D40" s="13" t="s">
        <v>14</v>
      </c>
      <c r="E40" s="13" t="s">
        <v>20</v>
      </c>
      <c r="F40">
        <v>76.5</v>
      </c>
      <c r="G40">
        <v>2.5</v>
      </c>
      <c r="H40">
        <v>9.3000000000000007</v>
      </c>
      <c r="I40">
        <f t="shared" si="5"/>
        <v>8.6750000000000007</v>
      </c>
      <c r="J40">
        <v>68</v>
      </c>
      <c r="M40">
        <f t="shared" si="3"/>
        <v>0.19506840612133367</v>
      </c>
      <c r="N40">
        <f t="shared" si="4"/>
        <v>0.11527377521613832</v>
      </c>
    </row>
    <row r="41" spans="2:14" x14ac:dyDescent="0.25">
      <c r="B41" s="13"/>
      <c r="C41">
        <v>100</v>
      </c>
      <c r="D41" s="13"/>
      <c r="E41" s="13"/>
      <c r="F41">
        <v>76.5</v>
      </c>
      <c r="G41">
        <v>9.1</v>
      </c>
      <c r="H41">
        <v>33.700000000000003</v>
      </c>
      <c r="I41">
        <f t="shared" si="5"/>
        <v>25.419000000000004</v>
      </c>
      <c r="J41">
        <v>153</v>
      </c>
      <c r="M41">
        <f t="shared" si="3"/>
        <v>5.779804625817294E-2</v>
      </c>
      <c r="N41">
        <f t="shared" si="4"/>
        <v>3.9340650694362475E-2</v>
      </c>
    </row>
    <row r="42" spans="2:14" x14ac:dyDescent="0.25">
      <c r="B42" s="13" t="s">
        <v>21</v>
      </c>
      <c r="C42">
        <v>167</v>
      </c>
      <c r="D42" s="13" t="s">
        <v>17</v>
      </c>
      <c r="E42" s="13" t="s">
        <v>15</v>
      </c>
      <c r="F42">
        <v>65</v>
      </c>
      <c r="G42">
        <v>1.1000000000000001</v>
      </c>
      <c r="H42">
        <v>8.1</v>
      </c>
      <c r="I42">
        <f t="shared" si="5"/>
        <v>7.8979299999999997</v>
      </c>
      <c r="J42">
        <v>61</v>
      </c>
      <c r="M42">
        <f t="shared" si="3"/>
        <v>0.19507763123505809</v>
      </c>
      <c r="N42">
        <f t="shared" si="4"/>
        <v>0.12661545493566037</v>
      </c>
    </row>
    <row r="43" spans="2:14" x14ac:dyDescent="0.25">
      <c r="B43" s="13"/>
      <c r="C43">
        <v>167</v>
      </c>
      <c r="D43" s="13"/>
      <c r="E43" s="13"/>
      <c r="F43">
        <v>65</v>
      </c>
      <c r="G43">
        <v>5.6</v>
      </c>
      <c r="H43">
        <v>41.4</v>
      </c>
      <c r="I43">
        <f t="shared" si="5"/>
        <v>36.162880000000001</v>
      </c>
      <c r="J43">
        <v>184</v>
      </c>
      <c r="M43">
        <f t="shared" si="3"/>
        <v>3.7237069166265006E-2</v>
      </c>
      <c r="N43">
        <f t="shared" si="4"/>
        <v>2.7652664832004528E-2</v>
      </c>
    </row>
    <row r="44" spans="2:14" x14ac:dyDescent="0.25">
      <c r="B44" s="13"/>
      <c r="C44">
        <v>167</v>
      </c>
      <c r="D44" s="13" t="s">
        <v>22</v>
      </c>
      <c r="E44" s="13"/>
      <c r="F44">
        <v>65</v>
      </c>
      <c r="G44">
        <v>1.9</v>
      </c>
      <c r="H44">
        <v>21.1</v>
      </c>
      <c r="I44">
        <f t="shared" si="5"/>
        <v>20.497130000000002</v>
      </c>
      <c r="J44">
        <v>102</v>
      </c>
      <c r="M44">
        <f t="shared" si="3"/>
        <v>9.0219822500486768E-2</v>
      </c>
      <c r="N44">
        <f t="shared" si="4"/>
        <v>4.8787318029402157E-2</v>
      </c>
    </row>
    <row r="45" spans="2:14" x14ac:dyDescent="0.25">
      <c r="B45" s="13"/>
      <c r="C45">
        <v>167</v>
      </c>
      <c r="D45" s="13"/>
      <c r="E45" s="13"/>
      <c r="F45">
        <v>65</v>
      </c>
      <c r="G45">
        <v>7.7</v>
      </c>
      <c r="H45">
        <v>85.5</v>
      </c>
      <c r="I45">
        <f t="shared" si="5"/>
        <v>75.598569999999995</v>
      </c>
      <c r="J45">
        <v>261</v>
      </c>
      <c r="M45">
        <f t="shared" si="3"/>
        <v>2.2041516166740688E-2</v>
      </c>
      <c r="N45">
        <f t="shared" si="4"/>
        <v>1.3227763435207837E-2</v>
      </c>
    </row>
    <row r="46" spans="2:14" x14ac:dyDescent="0.25">
      <c r="B46" s="13"/>
      <c r="C46">
        <v>167</v>
      </c>
      <c r="D46" s="13" t="s">
        <v>17</v>
      </c>
      <c r="E46" s="13" t="s">
        <v>18</v>
      </c>
      <c r="F46">
        <v>65</v>
      </c>
      <c r="G46">
        <v>1.6</v>
      </c>
      <c r="H46">
        <v>11.8</v>
      </c>
      <c r="I46">
        <f t="shared" si="5"/>
        <v>11.372480000000001</v>
      </c>
      <c r="J46">
        <v>77</v>
      </c>
      <c r="M46">
        <f t="shared" si="3"/>
        <v>0.13755175574700002</v>
      </c>
      <c r="N46">
        <f t="shared" si="4"/>
        <v>8.7931568136413507E-2</v>
      </c>
    </row>
    <row r="47" spans="2:14" x14ac:dyDescent="0.25">
      <c r="B47" s="13"/>
      <c r="C47">
        <v>167</v>
      </c>
      <c r="D47" s="13"/>
      <c r="E47" s="13"/>
      <c r="F47">
        <v>65</v>
      </c>
      <c r="G47">
        <v>7.1</v>
      </c>
      <c r="H47">
        <v>52.5</v>
      </c>
      <c r="I47">
        <f t="shared" si="5"/>
        <v>44.081530000000001</v>
      </c>
      <c r="J47">
        <v>206</v>
      </c>
      <c r="M47">
        <f t="shared" si="3"/>
        <v>3.1434126417071155E-2</v>
      </c>
      <c r="N47">
        <f t="shared" si="4"/>
        <v>2.2685238012382963E-2</v>
      </c>
    </row>
    <row r="48" spans="2:14" x14ac:dyDescent="0.25">
      <c r="B48" s="13"/>
      <c r="C48">
        <v>167</v>
      </c>
      <c r="D48" s="13" t="s">
        <v>22</v>
      </c>
      <c r="E48" s="13"/>
      <c r="F48">
        <v>65</v>
      </c>
      <c r="G48">
        <v>2.8</v>
      </c>
      <c r="H48">
        <v>31.1</v>
      </c>
      <c r="I48">
        <f t="shared" si="5"/>
        <v>29.79072</v>
      </c>
      <c r="J48">
        <v>107</v>
      </c>
      <c r="M48">
        <f t="shared" si="3"/>
        <v>8.3970465246209394E-2</v>
      </c>
      <c r="N48">
        <f t="shared" si="4"/>
        <v>3.3567500214832E-2</v>
      </c>
    </row>
    <row r="49" spans="2:14" x14ac:dyDescent="0.25">
      <c r="B49" s="13"/>
      <c r="C49">
        <v>167</v>
      </c>
      <c r="D49" s="13"/>
      <c r="E49" s="13"/>
      <c r="F49">
        <v>65</v>
      </c>
      <c r="G49">
        <v>9.4</v>
      </c>
      <c r="H49">
        <v>104.3</v>
      </c>
      <c r="I49">
        <f t="shared" si="5"/>
        <v>89.543880000000001</v>
      </c>
      <c r="J49">
        <v>269</v>
      </c>
      <c r="M49">
        <f t="shared" si="3"/>
        <v>2.1065598668716191E-2</v>
      </c>
      <c r="N49">
        <f t="shared" si="4"/>
        <v>1.1167709060630386E-2</v>
      </c>
    </row>
    <row r="50" spans="2:14" x14ac:dyDescent="0.25">
      <c r="B50" s="13"/>
      <c r="C50">
        <v>167</v>
      </c>
      <c r="D50" s="13" t="s">
        <v>17</v>
      </c>
      <c r="E50" s="13" t="s">
        <v>23</v>
      </c>
      <c r="G50">
        <v>2.7</v>
      </c>
      <c r="H50">
        <v>20</v>
      </c>
      <c r="I50">
        <f t="shared" si="5"/>
        <v>18.78257</v>
      </c>
      <c r="J50">
        <v>70</v>
      </c>
      <c r="M50" t="e">
        <f t="shared" si="3"/>
        <v>#DIV/0!</v>
      </c>
      <c r="N50">
        <f t="shared" si="4"/>
        <v>5.3240850426752036E-2</v>
      </c>
    </row>
    <row r="51" spans="2:14" x14ac:dyDescent="0.25">
      <c r="B51" s="13"/>
      <c r="C51">
        <v>167</v>
      </c>
      <c r="D51" s="13"/>
      <c r="E51" s="13"/>
      <c r="G51">
        <v>6.5</v>
      </c>
      <c r="H51">
        <v>48.1</v>
      </c>
      <c r="I51">
        <f t="shared" si="5"/>
        <v>41.044250000000005</v>
      </c>
      <c r="J51">
        <v>136</v>
      </c>
      <c r="M51" t="e">
        <f t="shared" si="3"/>
        <v>#DIV/0!</v>
      </c>
      <c r="N51">
        <f t="shared" si="4"/>
        <v>2.4363948665160159E-2</v>
      </c>
    </row>
    <row r="52" spans="2:14" x14ac:dyDescent="0.25">
      <c r="B52" s="13"/>
      <c r="C52">
        <v>167</v>
      </c>
      <c r="D52" s="13" t="s">
        <v>22</v>
      </c>
      <c r="E52" s="13"/>
      <c r="G52">
        <v>4.0999999999999996</v>
      </c>
      <c r="H52">
        <v>45.5</v>
      </c>
      <c r="I52">
        <f t="shared" si="5"/>
        <v>42.692729999999997</v>
      </c>
      <c r="J52">
        <v>106</v>
      </c>
      <c r="M52" t="e">
        <f t="shared" si="3"/>
        <v>#DIV/0!</v>
      </c>
      <c r="N52">
        <f t="shared" si="4"/>
        <v>2.3423191723743131E-2</v>
      </c>
    </row>
    <row r="53" spans="2:14" x14ac:dyDescent="0.25">
      <c r="B53" s="13"/>
      <c r="C53">
        <v>167</v>
      </c>
      <c r="D53" s="13"/>
      <c r="E53" s="13"/>
      <c r="G53">
        <v>9.6</v>
      </c>
      <c r="H53">
        <v>106.6</v>
      </c>
      <c r="I53">
        <f t="shared" si="5"/>
        <v>91.209279999999993</v>
      </c>
      <c r="J53">
        <v>207</v>
      </c>
      <c r="M53" t="e">
        <f t="shared" si="3"/>
        <v>#DIV/0!</v>
      </c>
      <c r="N53">
        <f t="shared" si="4"/>
        <v>1.0963796666304131E-2</v>
      </c>
    </row>
    <row r="54" spans="2:14" x14ac:dyDescent="0.25">
      <c r="B54" s="13"/>
      <c r="C54">
        <v>167</v>
      </c>
      <c r="D54" s="13" t="s">
        <v>17</v>
      </c>
      <c r="E54" s="13" t="s">
        <v>24</v>
      </c>
      <c r="F54">
        <v>64</v>
      </c>
      <c r="G54">
        <v>2.5</v>
      </c>
      <c r="H54">
        <v>18.5</v>
      </c>
      <c r="I54">
        <f t="shared" si="5"/>
        <v>17.456250000000001</v>
      </c>
      <c r="J54">
        <v>82</v>
      </c>
      <c r="M54">
        <f t="shared" si="3"/>
        <v>0.12323897136146016</v>
      </c>
      <c r="N54">
        <f t="shared" si="4"/>
        <v>5.7286072323666309E-2</v>
      </c>
    </row>
    <row r="55" spans="2:14" x14ac:dyDescent="0.25">
      <c r="B55" s="13"/>
      <c r="C55">
        <v>167</v>
      </c>
      <c r="D55" s="13"/>
      <c r="E55" s="13"/>
      <c r="F55">
        <v>64</v>
      </c>
      <c r="G55">
        <v>5.9</v>
      </c>
      <c r="H55">
        <v>43.7</v>
      </c>
      <c r="I55">
        <f t="shared" si="5"/>
        <v>37.88673</v>
      </c>
      <c r="J55">
        <v>158</v>
      </c>
      <c r="M55">
        <f t="shared" si="3"/>
        <v>4.6076895788647446E-2</v>
      </c>
      <c r="N55">
        <f t="shared" si="4"/>
        <v>2.6394465819562681E-2</v>
      </c>
    </row>
    <row r="56" spans="2:14" x14ac:dyDescent="0.25">
      <c r="B56" s="13"/>
      <c r="C56">
        <v>167</v>
      </c>
      <c r="D56" s="13" t="s">
        <v>22</v>
      </c>
      <c r="E56" s="13"/>
      <c r="F56">
        <v>64</v>
      </c>
      <c r="G56">
        <v>3.8</v>
      </c>
      <c r="H56">
        <v>42.2</v>
      </c>
      <c r="I56">
        <f t="shared" si="5"/>
        <v>39.788520000000005</v>
      </c>
      <c r="J56">
        <v>125</v>
      </c>
      <c r="M56">
        <f t="shared" si="3"/>
        <v>6.5479269214850616E-2</v>
      </c>
      <c r="N56">
        <f t="shared" si="4"/>
        <v>2.5132877523466563E-2</v>
      </c>
    </row>
    <row r="57" spans="2:14" x14ac:dyDescent="0.25">
      <c r="B57" s="13"/>
      <c r="C57">
        <v>167</v>
      </c>
      <c r="D57" s="13"/>
      <c r="E57" s="13"/>
      <c r="F57">
        <v>64</v>
      </c>
      <c r="G57">
        <v>8.9</v>
      </c>
      <c r="H57">
        <v>98.8</v>
      </c>
      <c r="I57">
        <f t="shared" si="5"/>
        <v>85.571929999999995</v>
      </c>
      <c r="J57">
        <v>239</v>
      </c>
      <c r="M57">
        <f t="shared" si="3"/>
        <v>2.476691946152881E-2</v>
      </c>
      <c r="N57">
        <f t="shared" si="4"/>
        <v>1.1686075094952283E-2</v>
      </c>
    </row>
    <row r="58" spans="2:14" x14ac:dyDescent="0.25">
      <c r="B58" s="13" t="s">
        <v>13</v>
      </c>
      <c r="C58">
        <v>320</v>
      </c>
      <c r="D58" s="13" t="s">
        <v>22</v>
      </c>
      <c r="E58" s="13" t="s">
        <v>15</v>
      </c>
      <c r="F58">
        <v>65</v>
      </c>
      <c r="G58">
        <v>0.75</v>
      </c>
      <c r="H58">
        <v>8.3000000000000007</v>
      </c>
      <c r="I58">
        <f t="shared" si="5"/>
        <v>8.120000000000001</v>
      </c>
      <c r="J58">
        <v>60</v>
      </c>
      <c r="M58">
        <f t="shared" si="3"/>
        <v>0.199974836506324</v>
      </c>
      <c r="N58">
        <f t="shared" si="4"/>
        <v>0.1231527093596059</v>
      </c>
    </row>
    <row r="59" spans="2:14" x14ac:dyDescent="0.25">
      <c r="B59" s="13"/>
      <c r="C59">
        <v>320</v>
      </c>
      <c r="D59" s="13"/>
      <c r="E59" s="13"/>
      <c r="F59">
        <v>65</v>
      </c>
      <c r="G59">
        <v>4</v>
      </c>
      <c r="H59">
        <v>44.4</v>
      </c>
      <c r="I59">
        <f t="shared" si="5"/>
        <v>39.28</v>
      </c>
      <c r="J59">
        <v>182</v>
      </c>
      <c r="M59">
        <f t="shared" si="3"/>
        <v>3.7852550191749629E-2</v>
      </c>
      <c r="N59">
        <f t="shared" si="4"/>
        <v>2.545824847250509E-2</v>
      </c>
    </row>
    <row r="60" spans="2:14" x14ac:dyDescent="0.25">
      <c r="B60" s="13"/>
      <c r="C60">
        <v>320</v>
      </c>
      <c r="D60" s="13" t="s">
        <v>25</v>
      </c>
      <c r="E60" s="13"/>
      <c r="F60">
        <v>65</v>
      </c>
      <c r="G60">
        <v>1.4</v>
      </c>
      <c r="H60">
        <v>20.7</v>
      </c>
      <c r="I60">
        <f t="shared" si="5"/>
        <v>20.072800000000001</v>
      </c>
      <c r="J60">
        <v>100</v>
      </c>
      <c r="M60">
        <f t="shared" si="3"/>
        <v>9.2939905373945239E-2</v>
      </c>
      <c r="N60">
        <f t="shared" si="4"/>
        <v>4.9818660077318555E-2</v>
      </c>
    </row>
    <row r="61" spans="2:14" x14ac:dyDescent="0.25">
      <c r="B61" s="13"/>
      <c r="C61">
        <v>320</v>
      </c>
      <c r="D61" s="13"/>
      <c r="E61" s="13"/>
      <c r="F61">
        <v>65</v>
      </c>
      <c r="G61">
        <v>5.5</v>
      </c>
      <c r="H61">
        <v>81.400000000000006</v>
      </c>
      <c r="I61">
        <f t="shared" si="5"/>
        <v>71.72</v>
      </c>
      <c r="J61">
        <v>259</v>
      </c>
      <c r="M61">
        <f t="shared" si="3"/>
        <v>2.2297315542232441E-2</v>
      </c>
      <c r="N61">
        <f t="shared" si="4"/>
        <v>1.3943112102621306E-2</v>
      </c>
    </row>
    <row r="62" spans="2:14" x14ac:dyDescent="0.25">
      <c r="B62" s="13"/>
      <c r="C62">
        <v>320</v>
      </c>
      <c r="D62" s="13" t="s">
        <v>22</v>
      </c>
      <c r="E62" s="13" t="s">
        <v>18</v>
      </c>
      <c r="F62">
        <v>65</v>
      </c>
      <c r="G62">
        <v>1.1499999999999999</v>
      </c>
      <c r="H62">
        <v>12.8</v>
      </c>
      <c r="I62">
        <f t="shared" si="5"/>
        <v>12.376800000000001</v>
      </c>
      <c r="J62">
        <v>76</v>
      </c>
      <c r="M62">
        <f t="shared" si="3"/>
        <v>0.14027550392910668</v>
      </c>
      <c r="N62">
        <f t="shared" si="4"/>
        <v>8.0796328614827731E-2</v>
      </c>
    </row>
    <row r="63" spans="2:14" x14ac:dyDescent="0.25">
      <c r="B63" s="13"/>
      <c r="C63">
        <v>320</v>
      </c>
      <c r="D63" s="13"/>
      <c r="E63" s="13"/>
      <c r="F63">
        <v>65</v>
      </c>
      <c r="G63">
        <v>5.0999999999999996</v>
      </c>
      <c r="H63">
        <v>56.6</v>
      </c>
      <c r="I63">
        <f t="shared" si="5"/>
        <v>48.276800000000001</v>
      </c>
      <c r="J63">
        <v>204</v>
      </c>
      <c r="M63">
        <f t="shared" si="3"/>
        <v>3.1897524143770423E-2</v>
      </c>
      <c r="N63">
        <f t="shared" si="4"/>
        <v>2.071388327312498E-2</v>
      </c>
    </row>
    <row r="64" spans="2:14" x14ac:dyDescent="0.25">
      <c r="B64" s="13"/>
      <c r="C64">
        <v>320</v>
      </c>
      <c r="D64" s="13" t="s">
        <v>25</v>
      </c>
      <c r="E64" s="13"/>
      <c r="F64">
        <v>65</v>
      </c>
      <c r="G64">
        <v>2</v>
      </c>
      <c r="H64">
        <v>29.6</v>
      </c>
      <c r="I64">
        <f t="shared" si="5"/>
        <v>28.32</v>
      </c>
      <c r="J64">
        <v>105</v>
      </c>
      <c r="M64">
        <f t="shared" si="3"/>
        <v>8.6381009937393269E-2</v>
      </c>
      <c r="N64">
        <f t="shared" si="4"/>
        <v>3.5310734463276837E-2</v>
      </c>
    </row>
    <row r="65" spans="1:17" x14ac:dyDescent="0.25">
      <c r="B65" s="13"/>
      <c r="C65">
        <v>320</v>
      </c>
      <c r="D65" s="13"/>
      <c r="E65" s="13"/>
      <c r="F65">
        <v>65</v>
      </c>
      <c r="G65">
        <v>6.7</v>
      </c>
      <c r="H65">
        <v>99.2</v>
      </c>
      <c r="I65">
        <f t="shared" si="5"/>
        <v>84.8352</v>
      </c>
      <c r="J65">
        <v>266</v>
      </c>
      <c r="M65">
        <f t="shared" si="3"/>
        <v>2.1422974508562405E-2</v>
      </c>
      <c r="N65">
        <f t="shared" si="4"/>
        <v>1.1787559880804195E-2</v>
      </c>
    </row>
    <row r="66" spans="1:17" x14ac:dyDescent="0.25">
      <c r="B66" s="13"/>
      <c r="C66">
        <v>320</v>
      </c>
      <c r="D66" s="13" t="s">
        <v>17</v>
      </c>
      <c r="E66" s="13" t="s">
        <v>19</v>
      </c>
      <c r="F66">
        <v>76.2</v>
      </c>
      <c r="G66">
        <v>1.3</v>
      </c>
      <c r="H66">
        <v>9.6</v>
      </c>
      <c r="I66">
        <f t="shared" ref="I66:I97" si="6">H66-G66^2*C66/1000</f>
        <v>9.0591999999999988</v>
      </c>
      <c r="J66">
        <v>72</v>
      </c>
      <c r="M66">
        <f t="shared" si="3"/>
        <v>0.17833849447135888</v>
      </c>
      <c r="N66">
        <f t="shared" si="4"/>
        <v>0.11038502296008479</v>
      </c>
    </row>
    <row r="67" spans="1:17" x14ac:dyDescent="0.25">
      <c r="B67" s="13"/>
      <c r="C67">
        <v>320</v>
      </c>
      <c r="D67" s="13"/>
      <c r="E67" s="13"/>
      <c r="F67">
        <v>76.2</v>
      </c>
      <c r="G67">
        <v>4.5999999999999996</v>
      </c>
      <c r="H67">
        <v>34</v>
      </c>
      <c r="I67">
        <f t="shared" si="6"/>
        <v>27.2288</v>
      </c>
      <c r="J67">
        <v>159</v>
      </c>
      <c r="M67">
        <f t="shared" si="3"/>
        <v>5.434356862310185E-2</v>
      </c>
      <c r="N67">
        <f t="shared" si="4"/>
        <v>3.6725819720296156E-2</v>
      </c>
    </row>
    <row r="68" spans="1:17" x14ac:dyDescent="0.25">
      <c r="B68" s="13"/>
      <c r="C68">
        <v>320</v>
      </c>
      <c r="D68" s="13" t="s">
        <v>22</v>
      </c>
      <c r="E68" s="13"/>
      <c r="F68">
        <v>76.2</v>
      </c>
      <c r="G68">
        <v>2</v>
      </c>
      <c r="H68">
        <v>22.2</v>
      </c>
      <c r="I68">
        <f t="shared" si="6"/>
        <v>20.919999999999998</v>
      </c>
      <c r="J68">
        <v>109</v>
      </c>
      <c r="M68">
        <f t="shared" si="3"/>
        <v>9.5742352359359267E-2</v>
      </c>
      <c r="N68">
        <f t="shared" si="4"/>
        <v>4.7801147227533466E-2</v>
      </c>
    </row>
    <row r="69" spans="1:17" x14ac:dyDescent="0.25">
      <c r="B69" s="13"/>
      <c r="C69">
        <v>320</v>
      </c>
      <c r="D69" s="13"/>
      <c r="E69" s="13"/>
      <c r="F69">
        <v>76.2</v>
      </c>
      <c r="G69">
        <v>6.9</v>
      </c>
      <c r="H69">
        <v>76.599999999999994</v>
      </c>
      <c r="I69">
        <f t="shared" si="6"/>
        <v>61.364799999999988</v>
      </c>
      <c r="J69">
        <v>239</v>
      </c>
      <c r="M69">
        <f t="shared" si="3"/>
        <v>2.9488113483882732E-2</v>
      </c>
      <c r="N69">
        <f t="shared" si="4"/>
        <v>1.6295987276093139E-2</v>
      </c>
    </row>
    <row r="70" spans="1:17" x14ac:dyDescent="0.25">
      <c r="B70" s="13"/>
      <c r="C70">
        <v>320</v>
      </c>
      <c r="D70" s="13" t="s">
        <v>17</v>
      </c>
      <c r="E70" s="13" t="s">
        <v>20</v>
      </c>
      <c r="F70">
        <v>76.5</v>
      </c>
      <c r="G70">
        <v>1.3</v>
      </c>
      <c r="H70">
        <v>9.6</v>
      </c>
      <c r="I70">
        <f t="shared" si="6"/>
        <v>9.0591999999999988</v>
      </c>
      <c r="J70">
        <v>71</v>
      </c>
      <c r="M70">
        <f t="shared" si="3"/>
        <v>0.18283645045337804</v>
      </c>
      <c r="N70">
        <f t="shared" si="4"/>
        <v>0.11038502296008479</v>
      </c>
    </row>
    <row r="71" spans="1:17" x14ac:dyDescent="0.25">
      <c r="B71" s="13"/>
      <c r="C71">
        <v>320</v>
      </c>
      <c r="D71" s="13"/>
      <c r="E71" s="13"/>
      <c r="F71">
        <v>76.5</v>
      </c>
      <c r="G71">
        <v>4.5</v>
      </c>
      <c r="H71">
        <v>33.299999999999997</v>
      </c>
      <c r="I71">
        <f t="shared" si="6"/>
        <v>26.819999999999997</v>
      </c>
      <c r="J71">
        <v>155</v>
      </c>
      <c r="M71">
        <f t="shared" si="3"/>
        <v>5.6682990812290182E-2</v>
      </c>
      <c r="N71">
        <f t="shared" si="4"/>
        <v>3.7285607755406416E-2</v>
      </c>
    </row>
    <row r="72" spans="1:17" x14ac:dyDescent="0.25">
      <c r="B72" s="13"/>
      <c r="C72">
        <v>320</v>
      </c>
      <c r="D72" s="13" t="s">
        <v>22</v>
      </c>
      <c r="E72" s="13"/>
      <c r="F72">
        <v>76.5</v>
      </c>
      <c r="G72">
        <v>1.9</v>
      </c>
      <c r="H72">
        <v>21.1</v>
      </c>
      <c r="I72">
        <f t="shared" si="6"/>
        <v>19.944800000000001</v>
      </c>
      <c r="J72">
        <v>104</v>
      </c>
      <c r="M72">
        <f t="shared" si="3"/>
        <v>0.1031336280115807</v>
      </c>
      <c r="N72">
        <f t="shared" si="4"/>
        <v>5.0138381934138221E-2</v>
      </c>
    </row>
    <row r="73" spans="1:17" x14ac:dyDescent="0.25">
      <c r="B73" s="13"/>
      <c r="C73">
        <v>320</v>
      </c>
      <c r="D73" s="13"/>
      <c r="E73" s="13"/>
      <c r="F73">
        <v>76.5</v>
      </c>
      <c r="G73">
        <v>6.8</v>
      </c>
      <c r="H73">
        <v>75.5</v>
      </c>
      <c r="I73">
        <f t="shared" si="6"/>
        <v>60.703200000000002</v>
      </c>
      <c r="J73">
        <v>231</v>
      </c>
      <c r="M73">
        <f t="shared" si="3"/>
        <v>3.115532848930647E-2</v>
      </c>
      <c r="N73">
        <f t="shared" si="4"/>
        <v>1.6473596120138642E-2</v>
      </c>
    </row>
    <row r="74" spans="1:17" x14ac:dyDescent="0.25">
      <c r="A74">
        <v>1203</v>
      </c>
      <c r="B74" s="13" t="s">
        <v>10</v>
      </c>
      <c r="C74">
        <v>110</v>
      </c>
      <c r="D74">
        <v>3.97</v>
      </c>
      <c r="E74" s="13" t="s">
        <v>26</v>
      </c>
      <c r="F74">
        <v>52.89</v>
      </c>
      <c r="G74">
        <v>1.9</v>
      </c>
      <c r="H74">
        <f t="shared" ref="H74:H105" si="7">D74*G74</f>
        <v>7.5430000000000001</v>
      </c>
      <c r="I74">
        <f t="shared" si="6"/>
        <v>7.1459000000000001</v>
      </c>
      <c r="J74">
        <v>23.5</v>
      </c>
      <c r="K74">
        <v>12835</v>
      </c>
      <c r="M74">
        <f t="shared" si="3"/>
        <v>0.66383575898517544</v>
      </c>
      <c r="N74">
        <f t="shared" si="4"/>
        <v>0.13994038539582138</v>
      </c>
      <c r="P74">
        <f>1.225*(K74/60)^2*(F74/1000)^4</f>
        <v>0.43865148305785667</v>
      </c>
      <c r="Q74">
        <f>J74/1000*9.8</f>
        <v>0.2303</v>
      </c>
    </row>
    <row r="75" spans="1:17" x14ac:dyDescent="0.25">
      <c r="A75" t="s">
        <v>27</v>
      </c>
      <c r="B75" s="13"/>
      <c r="C75">
        <v>110</v>
      </c>
      <c r="D75">
        <v>3.96</v>
      </c>
      <c r="E75" s="13"/>
      <c r="F75">
        <v>52.89</v>
      </c>
      <c r="G75">
        <v>2.4700000000000002</v>
      </c>
      <c r="H75">
        <f t="shared" si="7"/>
        <v>9.7812000000000001</v>
      </c>
      <c r="I75">
        <f t="shared" si="6"/>
        <v>9.1101010000000002</v>
      </c>
      <c r="J75">
        <v>30.5</v>
      </c>
      <c r="K75">
        <v>14484</v>
      </c>
      <c r="M75">
        <f t="shared" si="3"/>
        <v>0.44896519779500371</v>
      </c>
      <c r="N75">
        <f t="shared" si="4"/>
        <v>0.10976826711361377</v>
      </c>
      <c r="P75">
        <f t="shared" ref="P75:P122" si="8">1.225*(K75/60)^2*(F75/1000)^4</f>
        <v>0.55860508952700394</v>
      </c>
      <c r="Q75">
        <f t="shared" ref="Q75:Q122" si="9">J75/1000*9.8</f>
        <v>0.2989</v>
      </c>
    </row>
    <row r="76" spans="1:17" x14ac:dyDescent="0.25">
      <c r="A76" t="s">
        <v>28</v>
      </c>
      <c r="B76" s="13"/>
      <c r="C76">
        <v>110</v>
      </c>
      <c r="D76">
        <v>3.95</v>
      </c>
      <c r="E76" s="13"/>
      <c r="F76">
        <v>52.89</v>
      </c>
      <c r="G76">
        <v>3.04</v>
      </c>
      <c r="H76">
        <f t="shared" si="7"/>
        <v>12.008000000000001</v>
      </c>
      <c r="I76">
        <f t="shared" si="6"/>
        <v>10.991424</v>
      </c>
      <c r="J76">
        <v>37.200000000000003</v>
      </c>
      <c r="K76">
        <v>15953</v>
      </c>
      <c r="M76">
        <f t="shared" si="3"/>
        <v>0.33330975664939555</v>
      </c>
      <c r="N76">
        <f t="shared" si="4"/>
        <v>9.0980022242795833E-2</v>
      </c>
      <c r="P76">
        <f t="shared" si="8"/>
        <v>0.677661146795561</v>
      </c>
      <c r="Q76">
        <f t="shared" si="9"/>
        <v>0.36456000000000005</v>
      </c>
    </row>
    <row r="77" spans="1:17" x14ac:dyDescent="0.25">
      <c r="B77" s="13"/>
      <c r="C77">
        <v>110</v>
      </c>
      <c r="D77">
        <v>3.94</v>
      </c>
      <c r="E77" s="13"/>
      <c r="F77">
        <v>52.89</v>
      </c>
      <c r="G77">
        <v>3.61</v>
      </c>
      <c r="H77">
        <f t="shared" si="7"/>
        <v>14.2234</v>
      </c>
      <c r="I77">
        <f t="shared" si="6"/>
        <v>12.789868999999999</v>
      </c>
      <c r="J77">
        <v>44.1</v>
      </c>
      <c r="K77">
        <v>17262</v>
      </c>
      <c r="M77">
        <f t="shared" si="3"/>
        <v>0.25822872572493155</v>
      </c>
      <c r="N77">
        <f t="shared" si="4"/>
        <v>7.8186883696775941E-2</v>
      </c>
      <c r="P77">
        <f t="shared" si="8"/>
        <v>0.7934326731994118</v>
      </c>
      <c r="Q77">
        <f t="shared" si="9"/>
        <v>0.43218000000000001</v>
      </c>
    </row>
    <row r="78" spans="1:17" x14ac:dyDescent="0.25">
      <c r="B78" s="13"/>
      <c r="C78">
        <v>110</v>
      </c>
      <c r="D78">
        <v>3.94</v>
      </c>
      <c r="E78" s="13"/>
      <c r="F78">
        <v>52.89</v>
      </c>
      <c r="G78">
        <v>4.2</v>
      </c>
      <c r="H78">
        <f t="shared" si="7"/>
        <v>16.548000000000002</v>
      </c>
      <c r="I78">
        <f t="shared" si="6"/>
        <v>14.607600000000001</v>
      </c>
      <c r="J78">
        <v>51.4</v>
      </c>
      <c r="K78">
        <v>18517</v>
      </c>
      <c r="M78">
        <f t="shared" si="3"/>
        <v>0.2052190901701538</v>
      </c>
      <c r="N78">
        <f t="shared" si="4"/>
        <v>6.8457515266025892E-2</v>
      </c>
      <c r="P78">
        <f t="shared" si="8"/>
        <v>0.91299649262438065</v>
      </c>
      <c r="Q78">
        <f t="shared" si="9"/>
        <v>0.50372000000000006</v>
      </c>
    </row>
    <row r="79" spans="1:17" x14ac:dyDescent="0.25">
      <c r="B79" s="13"/>
      <c r="C79">
        <v>110</v>
      </c>
      <c r="D79">
        <v>3.92</v>
      </c>
      <c r="E79" s="13"/>
      <c r="F79">
        <v>52.89</v>
      </c>
      <c r="G79">
        <v>5.1100000000000003</v>
      </c>
      <c r="H79">
        <f t="shared" si="7"/>
        <v>20.031200000000002</v>
      </c>
      <c r="I79">
        <f t="shared" si="6"/>
        <v>17.158869000000003</v>
      </c>
      <c r="J79">
        <v>62.2</v>
      </c>
      <c r="K79">
        <v>20248</v>
      </c>
      <c r="M79">
        <f t="shared" si="3"/>
        <v>0.15416183080818124</v>
      </c>
      <c r="N79">
        <f t="shared" si="4"/>
        <v>5.8278899384335871E-2</v>
      </c>
      <c r="P79">
        <f t="shared" si="8"/>
        <v>1.0916718717089628</v>
      </c>
      <c r="Q79">
        <f t="shared" si="9"/>
        <v>0.6095600000000001</v>
      </c>
    </row>
    <row r="80" spans="1:17" x14ac:dyDescent="0.25">
      <c r="B80" s="13"/>
      <c r="C80">
        <v>110</v>
      </c>
      <c r="D80">
        <v>3.91</v>
      </c>
      <c r="E80" s="13"/>
      <c r="F80">
        <v>52.89</v>
      </c>
      <c r="G80">
        <v>5.95</v>
      </c>
      <c r="H80">
        <f t="shared" si="7"/>
        <v>23.264500000000002</v>
      </c>
      <c r="I80">
        <f t="shared" si="6"/>
        <v>19.370225000000001</v>
      </c>
      <c r="J80">
        <v>70.099999999999994</v>
      </c>
      <c r="K80">
        <v>21419</v>
      </c>
      <c r="M80">
        <f t="shared" si="3"/>
        <v>0.12885029268570847</v>
      </c>
      <c r="N80">
        <f t="shared" si="4"/>
        <v>5.1625626444710887E-2</v>
      </c>
      <c r="P80">
        <f t="shared" si="8"/>
        <v>1.2215921624294941</v>
      </c>
      <c r="Q80">
        <f t="shared" si="9"/>
        <v>0.68698000000000004</v>
      </c>
    </row>
    <row r="81" spans="2:17" x14ac:dyDescent="0.25">
      <c r="B81" s="13"/>
      <c r="C81">
        <v>110</v>
      </c>
      <c r="D81">
        <v>3.97</v>
      </c>
      <c r="E81" s="13" t="s">
        <v>29</v>
      </c>
      <c r="F81">
        <v>63.5</v>
      </c>
      <c r="G81">
        <v>1.88</v>
      </c>
      <c r="H81">
        <f t="shared" si="7"/>
        <v>7.4635999999999996</v>
      </c>
      <c r="I81">
        <f t="shared" si="6"/>
        <v>7.0748159999999993</v>
      </c>
      <c r="J81">
        <v>20.100000000000001</v>
      </c>
      <c r="K81">
        <v>9906</v>
      </c>
      <c r="M81">
        <f t="shared" si="3"/>
        <v>1.0075544105815479</v>
      </c>
      <c r="N81">
        <f t="shared" si="4"/>
        <v>0.14134643218989726</v>
      </c>
      <c r="P81">
        <f t="shared" si="8"/>
        <v>0.5429066188521815</v>
      </c>
      <c r="Q81">
        <f t="shared" si="9"/>
        <v>0.19698000000000002</v>
      </c>
    </row>
    <row r="82" spans="2:17" x14ac:dyDescent="0.25">
      <c r="B82" s="13"/>
      <c r="C82">
        <v>110</v>
      </c>
      <c r="D82">
        <v>3.96</v>
      </c>
      <c r="E82" s="13"/>
      <c r="F82">
        <v>63.5</v>
      </c>
      <c r="G82">
        <v>2.5099999999999998</v>
      </c>
      <c r="H82">
        <f t="shared" si="7"/>
        <v>9.9395999999999987</v>
      </c>
      <c r="I82">
        <f t="shared" si="6"/>
        <v>9.2465889999999984</v>
      </c>
      <c r="J82">
        <v>26.3</v>
      </c>
      <c r="K82">
        <v>11252</v>
      </c>
      <c r="M82">
        <f t="shared" si="3"/>
        <v>0.67317653899021934</v>
      </c>
      <c r="N82">
        <f t="shared" si="4"/>
        <v>0.1081479884095638</v>
      </c>
      <c r="P82">
        <f t="shared" si="8"/>
        <v>0.70046741324796757</v>
      </c>
      <c r="Q82">
        <f t="shared" si="9"/>
        <v>0.25774000000000002</v>
      </c>
    </row>
    <row r="83" spans="2:17" x14ac:dyDescent="0.25">
      <c r="B83" s="13"/>
      <c r="C83">
        <v>110</v>
      </c>
      <c r="D83">
        <v>3.95</v>
      </c>
      <c r="E83" s="13"/>
      <c r="F83">
        <v>63.5</v>
      </c>
      <c r="G83">
        <v>3.17</v>
      </c>
      <c r="H83">
        <f t="shared" si="7"/>
        <v>12.5215</v>
      </c>
      <c r="I83">
        <f t="shared" si="6"/>
        <v>11.416121</v>
      </c>
      <c r="J83">
        <v>32.299999999999997</v>
      </c>
      <c r="K83">
        <v>12422</v>
      </c>
      <c r="M83">
        <f t="shared" si="3"/>
        <v>0.49460535163552655</v>
      </c>
      <c r="N83">
        <f t="shared" si="4"/>
        <v>8.7595427553719865E-2</v>
      </c>
      <c r="P83">
        <f t="shared" si="8"/>
        <v>0.8537123005592433</v>
      </c>
      <c r="Q83">
        <f t="shared" si="9"/>
        <v>0.31653999999999999</v>
      </c>
    </row>
    <row r="84" spans="2:17" x14ac:dyDescent="0.25">
      <c r="B84" s="13"/>
      <c r="C84">
        <v>110</v>
      </c>
      <c r="D84">
        <v>3.94</v>
      </c>
      <c r="E84" s="13"/>
      <c r="F84">
        <v>63.5</v>
      </c>
      <c r="G84">
        <v>3.81</v>
      </c>
      <c r="H84">
        <f t="shared" si="7"/>
        <v>15.0114</v>
      </c>
      <c r="I84">
        <f t="shared" si="6"/>
        <v>13.414629</v>
      </c>
      <c r="J84">
        <v>39</v>
      </c>
      <c r="K84">
        <v>13536</v>
      </c>
      <c r="M84">
        <f t="shared" si="3"/>
        <v>0.37279122755786337</v>
      </c>
      <c r="N84">
        <f t="shared" si="4"/>
        <v>7.4545483143812624E-2</v>
      </c>
      <c r="P84">
        <f t="shared" si="8"/>
        <v>1.0136993791133162</v>
      </c>
      <c r="Q84">
        <f t="shared" si="9"/>
        <v>0.38220000000000004</v>
      </c>
    </row>
    <row r="85" spans="2:17" x14ac:dyDescent="0.25">
      <c r="B85" s="13"/>
      <c r="C85">
        <v>110</v>
      </c>
      <c r="D85">
        <v>3.93</v>
      </c>
      <c r="E85" s="13"/>
      <c r="F85">
        <v>63.5</v>
      </c>
      <c r="G85">
        <v>4.46</v>
      </c>
      <c r="H85">
        <f t="shared" si="7"/>
        <v>17.527799999999999</v>
      </c>
      <c r="I85">
        <f t="shared" si="6"/>
        <v>15.339723999999999</v>
      </c>
      <c r="J85">
        <v>45.5</v>
      </c>
      <c r="K85">
        <v>14604</v>
      </c>
      <c r="M85">
        <f t="shared" si="3"/>
        <v>0.295832238421674</v>
      </c>
      <c r="N85">
        <f t="shared" si="4"/>
        <v>6.519022115391386E-2</v>
      </c>
      <c r="P85">
        <f t="shared" si="8"/>
        <v>1.1799731839692751</v>
      </c>
      <c r="Q85">
        <f t="shared" si="9"/>
        <v>0.44590000000000002</v>
      </c>
    </row>
    <row r="86" spans="2:17" x14ac:dyDescent="0.25">
      <c r="B86" s="13"/>
      <c r="C86">
        <v>110</v>
      </c>
      <c r="D86">
        <v>3.92</v>
      </c>
      <c r="E86" s="13"/>
      <c r="F86">
        <v>63.5</v>
      </c>
      <c r="G86">
        <v>5.22</v>
      </c>
      <c r="H86">
        <f t="shared" si="7"/>
        <v>20.462399999999999</v>
      </c>
      <c r="I86">
        <f t="shared" si="6"/>
        <v>17.465076</v>
      </c>
      <c r="J86">
        <v>53.4</v>
      </c>
      <c r="K86">
        <v>15788</v>
      </c>
      <c r="M86">
        <f t="shared" si="3"/>
        <v>0.2326755285170084</v>
      </c>
      <c r="N86">
        <f t="shared" si="4"/>
        <v>5.7257122728810339E-2</v>
      </c>
      <c r="P86">
        <f t="shared" si="8"/>
        <v>1.3790586114660826</v>
      </c>
      <c r="Q86">
        <f t="shared" si="9"/>
        <v>0.52332000000000001</v>
      </c>
    </row>
    <row r="87" spans="2:17" x14ac:dyDescent="0.25">
      <c r="B87" s="13"/>
      <c r="C87">
        <v>110</v>
      </c>
      <c r="D87">
        <v>3.91</v>
      </c>
      <c r="E87" s="13"/>
      <c r="F87">
        <v>63.5</v>
      </c>
      <c r="G87">
        <v>6.33</v>
      </c>
      <c r="H87">
        <f t="shared" si="7"/>
        <v>24.750300000000003</v>
      </c>
      <c r="I87">
        <f t="shared" si="6"/>
        <v>20.342721000000004</v>
      </c>
      <c r="J87">
        <v>62.9</v>
      </c>
      <c r="K87">
        <v>17157</v>
      </c>
      <c r="M87">
        <f t="shared" si="3"/>
        <v>0.18200638610323872</v>
      </c>
      <c r="N87">
        <f t="shared" si="4"/>
        <v>4.9157632354098542E-2</v>
      </c>
      <c r="P87">
        <f t="shared" si="8"/>
        <v>1.6285878544912269</v>
      </c>
      <c r="Q87">
        <f t="shared" si="9"/>
        <v>0.61641999999999997</v>
      </c>
    </row>
    <row r="88" spans="2:17" x14ac:dyDescent="0.25">
      <c r="B88" s="13"/>
      <c r="C88">
        <v>110</v>
      </c>
      <c r="D88">
        <v>3.97</v>
      </c>
      <c r="E88" s="13" t="s">
        <v>30</v>
      </c>
      <c r="F88">
        <v>76.5</v>
      </c>
      <c r="G88">
        <v>1.77</v>
      </c>
      <c r="H88">
        <f t="shared" si="7"/>
        <v>7.0269000000000004</v>
      </c>
      <c r="I88">
        <f t="shared" si="6"/>
        <v>6.6822810000000006</v>
      </c>
      <c r="J88">
        <v>22.7</v>
      </c>
      <c r="K88">
        <v>11602</v>
      </c>
      <c r="M88">
        <f t="shared" si="3"/>
        <v>1.0113733803600262</v>
      </c>
      <c r="N88">
        <f t="shared" si="4"/>
        <v>0.14964949842725858</v>
      </c>
      <c r="P88">
        <f t="shared" si="8"/>
        <v>1.5687186176395196</v>
      </c>
      <c r="Q88">
        <f t="shared" si="9"/>
        <v>0.22245999999999999</v>
      </c>
    </row>
    <row r="89" spans="2:17" x14ac:dyDescent="0.25">
      <c r="B89" s="13"/>
      <c r="C89">
        <v>110</v>
      </c>
      <c r="D89">
        <v>3.96</v>
      </c>
      <c r="E89" s="13"/>
      <c r="F89">
        <v>76.5</v>
      </c>
      <c r="G89">
        <v>2.35</v>
      </c>
      <c r="H89">
        <f t="shared" si="7"/>
        <v>9.3060000000000009</v>
      </c>
      <c r="I89">
        <f t="shared" si="6"/>
        <v>8.6985250000000001</v>
      </c>
      <c r="J89">
        <v>29.8</v>
      </c>
      <c r="K89">
        <v>13191</v>
      </c>
      <c r="M89">
        <f t="shared" si="3"/>
        <v>0.6723972187122319</v>
      </c>
      <c r="N89">
        <f t="shared" si="4"/>
        <v>0.11496201942283318</v>
      </c>
      <c r="P89">
        <f t="shared" si="8"/>
        <v>2.0278450604784504</v>
      </c>
      <c r="Q89">
        <f t="shared" si="9"/>
        <v>0.29204000000000002</v>
      </c>
    </row>
    <row r="90" spans="2:17" x14ac:dyDescent="0.25">
      <c r="B90" s="13"/>
      <c r="C90">
        <v>110</v>
      </c>
      <c r="D90">
        <v>3.95</v>
      </c>
      <c r="E90" s="13"/>
      <c r="F90">
        <v>76.5</v>
      </c>
      <c r="G90">
        <v>2.91</v>
      </c>
      <c r="H90">
        <f t="shared" si="7"/>
        <v>11.4945</v>
      </c>
      <c r="I90">
        <f t="shared" si="6"/>
        <v>10.563009000000001</v>
      </c>
      <c r="J90">
        <v>37.299999999999997</v>
      </c>
      <c r="K90">
        <v>14570</v>
      </c>
      <c r="M90">
        <f t="shared" si="3"/>
        <v>0.48016119260717194</v>
      </c>
      <c r="N90">
        <f t="shared" si="4"/>
        <v>9.4669994127620255E-2</v>
      </c>
      <c r="P90">
        <f t="shared" si="8"/>
        <v>2.4739928040403165</v>
      </c>
      <c r="Q90">
        <f t="shared" si="9"/>
        <v>0.36554000000000003</v>
      </c>
    </row>
    <row r="91" spans="2:17" x14ac:dyDescent="0.25">
      <c r="B91" s="13"/>
      <c r="C91">
        <v>110</v>
      </c>
      <c r="D91">
        <v>3.95</v>
      </c>
      <c r="E91" s="13"/>
      <c r="F91">
        <v>76.5</v>
      </c>
      <c r="G91">
        <v>3.46</v>
      </c>
      <c r="H91">
        <f t="shared" si="7"/>
        <v>13.667</v>
      </c>
      <c r="I91">
        <f t="shared" si="6"/>
        <v>12.350123999999999</v>
      </c>
      <c r="J91">
        <v>44.8</v>
      </c>
      <c r="K91">
        <v>15818</v>
      </c>
      <c r="M91">
        <f t="shared" si="3"/>
        <v>0.36478190202869409</v>
      </c>
      <c r="N91">
        <f t="shared" si="4"/>
        <v>8.0970846932387083E-2</v>
      </c>
      <c r="P91">
        <f t="shared" si="8"/>
        <v>2.9159661015985172</v>
      </c>
      <c r="Q91">
        <f t="shared" si="9"/>
        <v>0.43904000000000004</v>
      </c>
    </row>
    <row r="92" spans="2:17" x14ac:dyDescent="0.25">
      <c r="B92" s="13"/>
      <c r="C92">
        <v>110</v>
      </c>
      <c r="D92">
        <v>3.94</v>
      </c>
      <c r="E92" s="13"/>
      <c r="F92">
        <v>76.5</v>
      </c>
      <c r="G92">
        <v>4.01</v>
      </c>
      <c r="H92">
        <f t="shared" si="7"/>
        <v>15.799399999999999</v>
      </c>
      <c r="I92">
        <f t="shared" si="6"/>
        <v>14.030588999999999</v>
      </c>
      <c r="J92">
        <v>52.4</v>
      </c>
      <c r="K92">
        <v>17001</v>
      </c>
      <c r="M92">
        <f t="shared" si="3"/>
        <v>0.28837218891965749</v>
      </c>
      <c r="N92">
        <f t="shared" si="4"/>
        <v>7.1272845352393976E-2</v>
      </c>
      <c r="P92">
        <f t="shared" si="8"/>
        <v>3.3684357135009679</v>
      </c>
      <c r="Q92">
        <f t="shared" si="9"/>
        <v>0.51351999999999998</v>
      </c>
    </row>
    <row r="93" spans="2:17" x14ac:dyDescent="0.25">
      <c r="B93" s="13"/>
      <c r="C93">
        <v>110</v>
      </c>
      <c r="D93">
        <v>3.93</v>
      </c>
      <c r="E93" s="13"/>
      <c r="F93">
        <v>76.5</v>
      </c>
      <c r="G93">
        <v>4.6100000000000003</v>
      </c>
      <c r="H93">
        <f t="shared" si="7"/>
        <v>18.117300000000004</v>
      </c>
      <c r="I93">
        <f t="shared" si="6"/>
        <v>15.779569000000004</v>
      </c>
      <c r="J93">
        <v>60.7</v>
      </c>
      <c r="K93">
        <v>18122</v>
      </c>
      <c r="M93">
        <f t="shared" si="3"/>
        <v>0.2312955449963652</v>
      </c>
      <c r="N93">
        <f t="shared" si="4"/>
        <v>6.3373087059602179E-2</v>
      </c>
      <c r="P93">
        <f t="shared" si="8"/>
        <v>3.8272918507783777</v>
      </c>
      <c r="Q93">
        <f t="shared" si="9"/>
        <v>0.59486000000000006</v>
      </c>
    </row>
    <row r="94" spans="2:17" x14ac:dyDescent="0.25">
      <c r="B94" s="13"/>
      <c r="C94">
        <v>110</v>
      </c>
      <c r="D94">
        <v>3.92</v>
      </c>
      <c r="E94" s="13"/>
      <c r="F94">
        <v>76.5</v>
      </c>
      <c r="G94">
        <v>5.57</v>
      </c>
      <c r="H94">
        <f t="shared" si="7"/>
        <v>21.834400000000002</v>
      </c>
      <c r="I94">
        <f t="shared" si="6"/>
        <v>18.421661</v>
      </c>
      <c r="J94">
        <v>72.900000000000006</v>
      </c>
      <c r="K94">
        <v>19734</v>
      </c>
      <c r="M94">
        <f t="shared" si="3"/>
        <v>0.17573530197802506</v>
      </c>
      <c r="N94">
        <f t="shared" si="4"/>
        <v>5.4283921520431842E-2</v>
      </c>
      <c r="P94">
        <f t="shared" si="8"/>
        <v>4.5384711207249318</v>
      </c>
      <c r="Q94">
        <f t="shared" si="9"/>
        <v>0.71442000000000017</v>
      </c>
    </row>
    <row r="95" spans="2:17" x14ac:dyDescent="0.25">
      <c r="B95" s="13"/>
      <c r="C95">
        <v>110</v>
      </c>
      <c r="D95">
        <v>7.95</v>
      </c>
      <c r="E95" s="13" t="s">
        <v>26</v>
      </c>
      <c r="F95">
        <v>52.89</v>
      </c>
      <c r="G95">
        <v>2.81</v>
      </c>
      <c r="H95">
        <f t="shared" si="7"/>
        <v>22.339500000000001</v>
      </c>
      <c r="I95">
        <f t="shared" si="6"/>
        <v>21.470929000000002</v>
      </c>
      <c r="J95">
        <v>30</v>
      </c>
      <c r="K95">
        <v>21770</v>
      </c>
      <c r="M95">
        <f t="shared" si="3"/>
        <v>0.46023596584430082</v>
      </c>
      <c r="N95">
        <f t="shared" si="4"/>
        <v>4.6574603269378789E-2</v>
      </c>
      <c r="P95">
        <f t="shared" si="8"/>
        <v>1.2619574565184695</v>
      </c>
      <c r="Q95">
        <f t="shared" si="9"/>
        <v>0.29399999999999998</v>
      </c>
    </row>
    <row r="96" spans="2:17" x14ac:dyDescent="0.25">
      <c r="B96" s="13"/>
      <c r="C96">
        <v>110</v>
      </c>
      <c r="D96">
        <v>7.94</v>
      </c>
      <c r="E96" s="13"/>
      <c r="F96">
        <v>52.89</v>
      </c>
      <c r="G96">
        <v>3.49</v>
      </c>
      <c r="H96">
        <f t="shared" si="7"/>
        <v>27.710600000000003</v>
      </c>
      <c r="I96">
        <f t="shared" si="6"/>
        <v>26.370789000000002</v>
      </c>
      <c r="J96">
        <v>42</v>
      </c>
      <c r="K96">
        <v>25606</v>
      </c>
      <c r="M96">
        <f t="shared" si="3"/>
        <v>0.27783598908028495</v>
      </c>
      <c r="N96">
        <f t="shared" si="4"/>
        <v>3.7920746322758866E-2</v>
      </c>
      <c r="P96">
        <f t="shared" si="8"/>
        <v>1.7458677324681515</v>
      </c>
      <c r="Q96">
        <f t="shared" si="9"/>
        <v>0.41160000000000008</v>
      </c>
    </row>
    <row r="97" spans="2:17" x14ac:dyDescent="0.25">
      <c r="B97" s="13"/>
      <c r="C97">
        <v>110</v>
      </c>
      <c r="D97">
        <v>7.93</v>
      </c>
      <c r="E97" s="13"/>
      <c r="F97">
        <v>52.89</v>
      </c>
      <c r="G97">
        <v>4.41</v>
      </c>
      <c r="H97">
        <f t="shared" si="7"/>
        <v>34.971299999999999</v>
      </c>
      <c r="I97">
        <f t="shared" si="6"/>
        <v>32.832008999999999</v>
      </c>
      <c r="J97">
        <v>58.1</v>
      </c>
      <c r="K97">
        <v>25000</v>
      </c>
      <c r="M97">
        <f t="shared" ref="M97:M160" si="10">1/(((2/PI()/1.225)^(1/2))/F97*1000*((J97/1000*9.8)^(3/2)))</f>
        <v>0.17076475436658639</v>
      </c>
      <c r="N97">
        <f t="shared" ref="N97:N160" si="11">1/I97</f>
        <v>3.0458081319361237E-2</v>
      </c>
      <c r="P97">
        <f t="shared" si="8"/>
        <v>1.6642090268982039</v>
      </c>
      <c r="Q97">
        <f t="shared" si="9"/>
        <v>0.56938</v>
      </c>
    </row>
    <row r="98" spans="2:17" x14ac:dyDescent="0.25">
      <c r="B98" s="13"/>
      <c r="C98">
        <v>110</v>
      </c>
      <c r="D98">
        <v>7.92</v>
      </c>
      <c r="E98" s="13"/>
      <c r="F98">
        <v>52.89</v>
      </c>
      <c r="G98">
        <v>5.22</v>
      </c>
      <c r="H98">
        <f t="shared" si="7"/>
        <v>41.342399999999998</v>
      </c>
      <c r="I98">
        <f t="shared" ref="I98:I122" si="12">H98-G98^2*C98/1000</f>
        <v>38.345075999999999</v>
      </c>
      <c r="J98">
        <v>76.3</v>
      </c>
      <c r="K98">
        <v>33441</v>
      </c>
      <c r="M98">
        <f t="shared" si="10"/>
        <v>0.11346858247816892</v>
      </c>
      <c r="N98">
        <f t="shared" si="11"/>
        <v>2.6078967740212591E-2</v>
      </c>
      <c r="P98">
        <f t="shared" si="8"/>
        <v>2.9777372084236853</v>
      </c>
      <c r="Q98">
        <f t="shared" si="9"/>
        <v>0.74773999999999996</v>
      </c>
    </row>
    <row r="99" spans="2:17" x14ac:dyDescent="0.25">
      <c r="B99" s="13"/>
      <c r="C99">
        <v>110</v>
      </c>
      <c r="D99">
        <v>7.91</v>
      </c>
      <c r="E99" s="13"/>
      <c r="F99">
        <v>52.89</v>
      </c>
      <c r="G99">
        <v>6.11</v>
      </c>
      <c r="H99">
        <f t="shared" si="7"/>
        <v>48.330100000000002</v>
      </c>
      <c r="I99">
        <f t="shared" si="12"/>
        <v>44.223568999999998</v>
      </c>
      <c r="J99">
        <v>92.2</v>
      </c>
      <c r="K99">
        <v>34329</v>
      </c>
      <c r="M99">
        <f t="shared" si="10"/>
        <v>8.542127604955832E-2</v>
      </c>
      <c r="N99">
        <f t="shared" si="11"/>
        <v>2.2612376671814979E-2</v>
      </c>
      <c r="P99">
        <f t="shared" si="8"/>
        <v>3.1379799281493925</v>
      </c>
      <c r="Q99">
        <f t="shared" si="9"/>
        <v>0.90356000000000014</v>
      </c>
    </row>
    <row r="100" spans="2:17" x14ac:dyDescent="0.25">
      <c r="B100" s="13"/>
      <c r="C100">
        <v>110</v>
      </c>
      <c r="D100">
        <v>7.9</v>
      </c>
      <c r="E100" s="13"/>
      <c r="F100">
        <v>52.89</v>
      </c>
      <c r="G100">
        <v>6.5</v>
      </c>
      <c r="H100">
        <f t="shared" si="7"/>
        <v>51.35</v>
      </c>
      <c r="I100">
        <f t="shared" si="12"/>
        <v>46.702500000000001</v>
      </c>
      <c r="J100">
        <v>94.1</v>
      </c>
      <c r="K100">
        <v>36053</v>
      </c>
      <c r="M100">
        <f t="shared" si="10"/>
        <v>8.2847231689706327E-2</v>
      </c>
      <c r="N100">
        <f t="shared" si="11"/>
        <v>2.1412129971628929E-2</v>
      </c>
      <c r="P100">
        <f t="shared" si="8"/>
        <v>3.4610723124317948</v>
      </c>
      <c r="Q100">
        <f t="shared" si="9"/>
        <v>0.92218</v>
      </c>
    </row>
    <row r="101" spans="2:17" x14ac:dyDescent="0.25">
      <c r="B101" s="13"/>
      <c r="C101">
        <v>110</v>
      </c>
      <c r="D101">
        <v>7.87</v>
      </c>
      <c r="E101" s="13"/>
      <c r="F101">
        <v>52.89</v>
      </c>
      <c r="G101">
        <v>8.3800000000000008</v>
      </c>
      <c r="H101">
        <f t="shared" si="7"/>
        <v>65.950600000000009</v>
      </c>
      <c r="I101">
        <f t="shared" si="12"/>
        <v>58.225916000000005</v>
      </c>
      <c r="J101">
        <v>118</v>
      </c>
      <c r="K101">
        <v>41082</v>
      </c>
      <c r="M101">
        <f t="shared" si="10"/>
        <v>5.8998290150211109E-2</v>
      </c>
      <c r="N101">
        <f t="shared" si="11"/>
        <v>1.71744829226903E-2</v>
      </c>
      <c r="P101">
        <f t="shared" si="8"/>
        <v>4.4939787293667859</v>
      </c>
      <c r="Q101">
        <f t="shared" si="9"/>
        <v>1.1564000000000001</v>
      </c>
    </row>
    <row r="102" spans="2:17" x14ac:dyDescent="0.25">
      <c r="B102" s="13"/>
      <c r="C102">
        <v>110</v>
      </c>
      <c r="D102">
        <v>7.95</v>
      </c>
      <c r="E102" s="13" t="s">
        <v>31</v>
      </c>
      <c r="F102">
        <v>52</v>
      </c>
      <c r="G102">
        <v>3.17</v>
      </c>
      <c r="H102">
        <f t="shared" si="7"/>
        <v>25.201499999999999</v>
      </c>
      <c r="I102">
        <f t="shared" si="12"/>
        <v>24.096121</v>
      </c>
      <c r="J102">
        <v>36.4</v>
      </c>
      <c r="K102">
        <v>19697</v>
      </c>
      <c r="M102">
        <f t="shared" si="10"/>
        <v>0.33856350140189945</v>
      </c>
      <c r="N102">
        <f t="shared" si="11"/>
        <v>4.1500455612751945E-2</v>
      </c>
      <c r="P102">
        <f t="shared" si="8"/>
        <v>0.96526627378773511</v>
      </c>
      <c r="Q102">
        <f t="shared" si="9"/>
        <v>0.35672000000000004</v>
      </c>
    </row>
    <row r="103" spans="2:17" x14ac:dyDescent="0.25">
      <c r="B103" s="13"/>
      <c r="C103">
        <v>110</v>
      </c>
      <c r="D103">
        <v>7.94</v>
      </c>
      <c r="E103" s="13"/>
      <c r="F103">
        <v>52</v>
      </c>
      <c r="G103">
        <v>4.07</v>
      </c>
      <c r="H103">
        <f t="shared" si="7"/>
        <v>32.315800000000003</v>
      </c>
      <c r="I103">
        <f t="shared" si="12"/>
        <v>30.493661000000003</v>
      </c>
      <c r="J103">
        <v>49.2</v>
      </c>
      <c r="K103">
        <v>22931</v>
      </c>
      <c r="M103">
        <f t="shared" si="10"/>
        <v>0.21544903777523208</v>
      </c>
      <c r="N103">
        <f t="shared" si="11"/>
        <v>3.2793700959684702E-2</v>
      </c>
      <c r="P103">
        <f t="shared" si="8"/>
        <v>1.3082566504553406</v>
      </c>
      <c r="Q103">
        <f t="shared" si="9"/>
        <v>0.48216000000000003</v>
      </c>
    </row>
    <row r="104" spans="2:17" x14ac:dyDescent="0.25">
      <c r="B104" s="13"/>
      <c r="C104">
        <v>110</v>
      </c>
      <c r="D104">
        <v>7.92</v>
      </c>
      <c r="E104" s="13"/>
      <c r="F104">
        <v>52</v>
      </c>
      <c r="G104">
        <v>5.5</v>
      </c>
      <c r="H104">
        <f t="shared" si="7"/>
        <v>43.56</v>
      </c>
      <c r="I104">
        <f t="shared" si="12"/>
        <v>40.232500000000002</v>
      </c>
      <c r="J104">
        <v>66.599999999999994</v>
      </c>
      <c r="K104">
        <v>26579</v>
      </c>
      <c r="M104">
        <f t="shared" si="10"/>
        <v>0.13679835316704589</v>
      </c>
      <c r="N104">
        <f t="shared" si="11"/>
        <v>2.4855527247871743E-2</v>
      </c>
      <c r="P104">
        <f t="shared" si="8"/>
        <v>1.7576169687179539</v>
      </c>
      <c r="Q104">
        <f t="shared" si="9"/>
        <v>0.65267999999999993</v>
      </c>
    </row>
    <row r="105" spans="2:17" x14ac:dyDescent="0.25">
      <c r="B105" s="13"/>
      <c r="C105">
        <v>110</v>
      </c>
      <c r="D105">
        <v>7.9</v>
      </c>
      <c r="E105" s="13"/>
      <c r="F105">
        <v>52</v>
      </c>
      <c r="G105">
        <v>6.81</v>
      </c>
      <c r="H105">
        <f t="shared" si="7"/>
        <v>53.798999999999999</v>
      </c>
      <c r="I105">
        <f t="shared" si="12"/>
        <v>48.697628999999999</v>
      </c>
      <c r="J105">
        <v>85.1</v>
      </c>
      <c r="K105">
        <v>28886</v>
      </c>
      <c r="M105">
        <f t="shared" si="10"/>
        <v>9.4710444056065754E-2</v>
      </c>
      <c r="N105">
        <f t="shared" si="11"/>
        <v>2.0534880661233015E-2</v>
      </c>
      <c r="P105">
        <f t="shared" si="8"/>
        <v>2.0759733608729674</v>
      </c>
      <c r="Q105">
        <f t="shared" si="9"/>
        <v>0.83398000000000005</v>
      </c>
    </row>
    <row r="106" spans="2:17" x14ac:dyDescent="0.25">
      <c r="B106" s="13"/>
      <c r="C106">
        <v>110</v>
      </c>
      <c r="D106">
        <v>7.87</v>
      </c>
      <c r="E106" s="13"/>
      <c r="F106">
        <v>52</v>
      </c>
      <c r="G106">
        <v>8.56</v>
      </c>
      <c r="H106">
        <f t="shared" ref="H106:H122" si="13">D106*G106</f>
        <v>67.367200000000011</v>
      </c>
      <c r="I106">
        <f t="shared" si="12"/>
        <v>59.30710400000001</v>
      </c>
      <c r="J106">
        <v>105.6</v>
      </c>
      <c r="K106">
        <v>32757</v>
      </c>
      <c r="M106">
        <f t="shared" si="10"/>
        <v>6.851668390538658E-2</v>
      </c>
      <c r="N106">
        <f t="shared" si="11"/>
        <v>1.6861386453804923E-2</v>
      </c>
      <c r="P106">
        <f t="shared" si="8"/>
        <v>2.6696553863892643</v>
      </c>
      <c r="Q106">
        <f t="shared" si="9"/>
        <v>1.03488</v>
      </c>
    </row>
    <row r="107" spans="2:17" x14ac:dyDescent="0.25">
      <c r="B107" s="13"/>
      <c r="C107">
        <v>110</v>
      </c>
      <c r="D107">
        <v>7.85</v>
      </c>
      <c r="E107" s="13"/>
      <c r="F107">
        <v>52</v>
      </c>
      <c r="G107">
        <v>9.81</v>
      </c>
      <c r="H107">
        <f t="shared" si="13"/>
        <v>77.008499999999998</v>
      </c>
      <c r="I107">
        <f t="shared" si="12"/>
        <v>66.422528999999997</v>
      </c>
      <c r="J107">
        <v>114.9</v>
      </c>
      <c r="K107">
        <v>33742</v>
      </c>
      <c r="M107">
        <f t="shared" si="10"/>
        <v>6.0368748125875255E-2</v>
      </c>
      <c r="N107">
        <f t="shared" si="11"/>
        <v>1.505513287517252E-2</v>
      </c>
      <c r="P107">
        <f t="shared" si="8"/>
        <v>2.8326218747907483</v>
      </c>
      <c r="Q107">
        <f t="shared" si="9"/>
        <v>1.12602</v>
      </c>
    </row>
    <row r="108" spans="2:17" x14ac:dyDescent="0.25">
      <c r="B108" s="13"/>
      <c r="C108">
        <v>110</v>
      </c>
      <c r="D108">
        <v>7.81</v>
      </c>
      <c r="E108" s="13"/>
      <c r="F108">
        <v>52</v>
      </c>
      <c r="G108">
        <v>12.65</v>
      </c>
      <c r="H108">
        <f t="shared" si="13"/>
        <v>98.796499999999995</v>
      </c>
      <c r="I108">
        <f t="shared" si="12"/>
        <v>81.194024999999996</v>
      </c>
      <c r="J108">
        <v>144.1</v>
      </c>
      <c r="K108">
        <v>36954</v>
      </c>
      <c r="M108">
        <f t="shared" si="10"/>
        <v>4.2982952288436717E-2</v>
      </c>
      <c r="N108">
        <f t="shared" si="11"/>
        <v>1.2316177206389264E-2</v>
      </c>
      <c r="P108">
        <f t="shared" si="8"/>
        <v>3.3975814075781758</v>
      </c>
      <c r="Q108">
        <f t="shared" si="9"/>
        <v>1.4121800000000002</v>
      </c>
    </row>
    <row r="109" spans="2:17" x14ac:dyDescent="0.25">
      <c r="B109" s="13"/>
      <c r="C109">
        <v>110</v>
      </c>
      <c r="D109">
        <v>7.94</v>
      </c>
      <c r="E109" s="13" t="s">
        <v>29</v>
      </c>
      <c r="F109">
        <v>63.5</v>
      </c>
      <c r="G109">
        <v>3.73</v>
      </c>
      <c r="H109">
        <f t="shared" si="13"/>
        <v>29.616200000000003</v>
      </c>
      <c r="I109">
        <f t="shared" si="12"/>
        <v>28.085781000000004</v>
      </c>
      <c r="J109">
        <v>48.4</v>
      </c>
      <c r="K109">
        <v>15423</v>
      </c>
      <c r="M109">
        <f t="shared" si="10"/>
        <v>0.26964635385322022</v>
      </c>
      <c r="N109">
        <f t="shared" si="11"/>
        <v>3.5605205352843838E-2</v>
      </c>
      <c r="P109">
        <f t="shared" si="8"/>
        <v>1.3160312629549544</v>
      </c>
      <c r="Q109">
        <f t="shared" si="9"/>
        <v>0.47432000000000002</v>
      </c>
    </row>
    <row r="110" spans="2:17" x14ac:dyDescent="0.25">
      <c r="B110" s="13"/>
      <c r="C110">
        <v>110</v>
      </c>
      <c r="D110">
        <v>7.92</v>
      </c>
      <c r="E110" s="13"/>
      <c r="F110">
        <v>63.5</v>
      </c>
      <c r="G110">
        <v>4.83</v>
      </c>
      <c r="H110">
        <f t="shared" si="13"/>
        <v>38.253599999999999</v>
      </c>
      <c r="I110">
        <f t="shared" si="12"/>
        <v>35.687421000000001</v>
      </c>
      <c r="J110">
        <v>62.6</v>
      </c>
      <c r="K110">
        <v>17410</v>
      </c>
      <c r="M110">
        <f t="shared" si="10"/>
        <v>0.18331630498434728</v>
      </c>
      <c r="N110">
        <f t="shared" si="11"/>
        <v>2.8021077790967297E-2</v>
      </c>
      <c r="P110">
        <f t="shared" si="8"/>
        <v>1.6769728494253098</v>
      </c>
      <c r="Q110">
        <f t="shared" si="9"/>
        <v>0.61348000000000003</v>
      </c>
    </row>
    <row r="111" spans="2:17" x14ac:dyDescent="0.25">
      <c r="B111" s="13"/>
      <c r="C111">
        <v>110</v>
      </c>
      <c r="D111">
        <v>7.9</v>
      </c>
      <c r="E111" s="13"/>
      <c r="F111">
        <v>63.5</v>
      </c>
      <c r="G111">
        <v>6.3</v>
      </c>
      <c r="H111">
        <f t="shared" si="13"/>
        <v>49.77</v>
      </c>
      <c r="I111">
        <f t="shared" si="12"/>
        <v>45.4041</v>
      </c>
      <c r="J111">
        <v>82</v>
      </c>
      <c r="K111">
        <v>19956</v>
      </c>
      <c r="M111">
        <f t="shared" si="10"/>
        <v>0.12227616689769874</v>
      </c>
      <c r="N111">
        <f t="shared" si="11"/>
        <v>2.2024442726537911E-2</v>
      </c>
      <c r="P111">
        <f t="shared" si="8"/>
        <v>2.2033093611637957</v>
      </c>
      <c r="Q111">
        <f t="shared" si="9"/>
        <v>0.80360000000000009</v>
      </c>
    </row>
    <row r="112" spans="2:17" x14ac:dyDescent="0.25">
      <c r="B112" s="13"/>
      <c r="C112">
        <v>110</v>
      </c>
      <c r="D112">
        <v>7.87</v>
      </c>
      <c r="E112" s="13"/>
      <c r="F112">
        <v>63.5</v>
      </c>
      <c r="G112">
        <v>8.64</v>
      </c>
      <c r="H112">
        <f t="shared" si="13"/>
        <v>67.996800000000007</v>
      </c>
      <c r="I112">
        <f t="shared" si="12"/>
        <v>59.785344000000009</v>
      </c>
      <c r="J112">
        <v>111.6</v>
      </c>
      <c r="K112">
        <v>23058</v>
      </c>
      <c r="M112">
        <f t="shared" si="10"/>
        <v>7.701340099288545E-2</v>
      </c>
      <c r="N112">
        <f t="shared" si="11"/>
        <v>1.6726507419611066E-2</v>
      </c>
      <c r="P112">
        <f t="shared" si="8"/>
        <v>2.9415196830600072</v>
      </c>
      <c r="Q112">
        <f t="shared" si="9"/>
        <v>1.09368</v>
      </c>
    </row>
    <row r="113" spans="2:17" x14ac:dyDescent="0.25">
      <c r="B113" s="13"/>
      <c r="C113">
        <v>110</v>
      </c>
      <c r="D113">
        <v>7.82</v>
      </c>
      <c r="E113" s="13"/>
      <c r="F113">
        <v>63.5</v>
      </c>
      <c r="G113">
        <v>12.04</v>
      </c>
      <c r="H113">
        <f t="shared" si="13"/>
        <v>94.152799999999999</v>
      </c>
      <c r="I113">
        <f t="shared" si="12"/>
        <v>78.207024000000004</v>
      </c>
      <c r="J113">
        <v>141.6</v>
      </c>
      <c r="K113">
        <v>25773</v>
      </c>
      <c r="M113">
        <f t="shared" si="10"/>
        <v>5.3884978584052792E-2</v>
      </c>
      <c r="N113">
        <f t="shared" si="11"/>
        <v>1.2786575282547511E-2</v>
      </c>
      <c r="P113">
        <f t="shared" si="8"/>
        <v>3.6750092505969025</v>
      </c>
      <c r="Q113">
        <f t="shared" si="9"/>
        <v>1.3876800000000002</v>
      </c>
    </row>
    <row r="114" spans="2:17" x14ac:dyDescent="0.25">
      <c r="B114" s="13"/>
      <c r="C114">
        <v>110</v>
      </c>
      <c r="D114">
        <v>7.78</v>
      </c>
      <c r="E114" s="13"/>
      <c r="F114">
        <v>63.5</v>
      </c>
      <c r="G114">
        <v>14.7</v>
      </c>
      <c r="H114">
        <f t="shared" si="13"/>
        <v>114.366</v>
      </c>
      <c r="I114">
        <f t="shared" si="12"/>
        <v>90.596100000000007</v>
      </c>
      <c r="J114">
        <v>160.69999999999999</v>
      </c>
      <c r="K114">
        <v>27360</v>
      </c>
      <c r="M114">
        <f t="shared" si="10"/>
        <v>4.4569604417443287E-2</v>
      </c>
      <c r="N114">
        <f t="shared" si="11"/>
        <v>1.1038002739632279E-2</v>
      </c>
      <c r="P114">
        <f t="shared" si="8"/>
        <v>4.1415286991841</v>
      </c>
      <c r="Q114">
        <f t="shared" si="9"/>
        <v>1.5748599999999999</v>
      </c>
    </row>
    <row r="115" spans="2:17" x14ac:dyDescent="0.25">
      <c r="B115" s="13"/>
      <c r="C115">
        <v>110</v>
      </c>
      <c r="D115">
        <v>7.76</v>
      </c>
      <c r="E115" s="13"/>
      <c r="F115">
        <v>63.5</v>
      </c>
      <c r="G115">
        <v>16.23</v>
      </c>
      <c r="H115">
        <f t="shared" si="13"/>
        <v>125.9448</v>
      </c>
      <c r="I115">
        <f t="shared" si="12"/>
        <v>96.969380999999998</v>
      </c>
      <c r="J115">
        <v>170.7</v>
      </c>
      <c r="K115">
        <v>28360</v>
      </c>
      <c r="M115">
        <f t="shared" si="10"/>
        <v>4.0711050872381478E-2</v>
      </c>
      <c r="N115">
        <f t="shared" si="11"/>
        <v>1.0312533602746211E-2</v>
      </c>
      <c r="P115">
        <f t="shared" si="8"/>
        <v>4.4498046151691186</v>
      </c>
      <c r="Q115">
        <f t="shared" si="9"/>
        <v>1.67286</v>
      </c>
    </row>
    <row r="116" spans="2:17" x14ac:dyDescent="0.25">
      <c r="B116" s="13"/>
      <c r="C116">
        <v>110</v>
      </c>
      <c r="D116">
        <v>7.95</v>
      </c>
      <c r="E116" s="13" t="s">
        <v>32</v>
      </c>
      <c r="F116">
        <v>63.5</v>
      </c>
      <c r="G116">
        <v>3.35</v>
      </c>
      <c r="H116">
        <f t="shared" si="13"/>
        <v>26.6325</v>
      </c>
      <c r="I116">
        <f t="shared" si="12"/>
        <v>25.398025000000001</v>
      </c>
      <c r="J116">
        <v>46.7</v>
      </c>
      <c r="K116">
        <v>17743</v>
      </c>
      <c r="M116">
        <f t="shared" si="10"/>
        <v>0.28450327743653653</v>
      </c>
      <c r="N116">
        <f t="shared" si="11"/>
        <v>3.9373140234329244E-2</v>
      </c>
      <c r="P116">
        <f t="shared" si="8"/>
        <v>1.741737066052174</v>
      </c>
      <c r="Q116">
        <f t="shared" si="9"/>
        <v>0.45766000000000007</v>
      </c>
    </row>
    <row r="117" spans="2:17" x14ac:dyDescent="0.25">
      <c r="B117" s="13"/>
      <c r="C117">
        <v>110</v>
      </c>
      <c r="D117">
        <v>7.93</v>
      </c>
      <c r="E117" s="13"/>
      <c r="F117">
        <v>63.5</v>
      </c>
      <c r="G117">
        <v>4.3899999999999997</v>
      </c>
      <c r="H117">
        <f t="shared" si="13"/>
        <v>34.8127</v>
      </c>
      <c r="I117">
        <f t="shared" si="12"/>
        <v>32.692768999999998</v>
      </c>
      <c r="J117">
        <v>63.5</v>
      </c>
      <c r="K117">
        <v>20553</v>
      </c>
      <c r="M117">
        <f t="shared" si="10"/>
        <v>0.17943287124884025</v>
      </c>
      <c r="N117">
        <f t="shared" si="11"/>
        <v>3.0587803682214868E-2</v>
      </c>
      <c r="P117">
        <f t="shared" si="8"/>
        <v>2.3371088155991928</v>
      </c>
      <c r="Q117">
        <f t="shared" si="9"/>
        <v>0.62230000000000008</v>
      </c>
    </row>
    <row r="118" spans="2:17" x14ac:dyDescent="0.25">
      <c r="B118" s="13"/>
      <c r="C118">
        <v>110</v>
      </c>
      <c r="D118">
        <v>7.91</v>
      </c>
      <c r="E118" s="13"/>
      <c r="F118">
        <v>63.5</v>
      </c>
      <c r="G118">
        <v>5.68</v>
      </c>
      <c r="H118">
        <f t="shared" si="13"/>
        <v>44.928799999999995</v>
      </c>
      <c r="I118">
        <f t="shared" si="12"/>
        <v>41.379935999999994</v>
      </c>
      <c r="J118">
        <v>85.9</v>
      </c>
      <c r="K118">
        <v>23709</v>
      </c>
      <c r="M118">
        <f t="shared" si="10"/>
        <v>0.11404410699309066</v>
      </c>
      <c r="N118">
        <f t="shared" si="11"/>
        <v>2.4166301272191434E-2</v>
      </c>
      <c r="P118">
        <f t="shared" si="8"/>
        <v>3.1099611400885285</v>
      </c>
      <c r="Q118">
        <f t="shared" si="9"/>
        <v>0.84182000000000012</v>
      </c>
    </row>
    <row r="119" spans="2:17" x14ac:dyDescent="0.25">
      <c r="B119" s="13"/>
      <c r="C119">
        <v>110</v>
      </c>
      <c r="D119">
        <v>7.88</v>
      </c>
      <c r="E119" s="13"/>
      <c r="F119">
        <v>63.5</v>
      </c>
      <c r="G119">
        <v>7.9</v>
      </c>
      <c r="H119">
        <f t="shared" si="13"/>
        <v>62.252000000000002</v>
      </c>
      <c r="I119">
        <f t="shared" si="12"/>
        <v>55.386900000000004</v>
      </c>
      <c r="J119">
        <v>112.8</v>
      </c>
      <c r="K119">
        <v>26901</v>
      </c>
      <c r="M119">
        <f t="shared" si="10"/>
        <v>7.5787738011498587E-2</v>
      </c>
      <c r="N119">
        <f t="shared" si="11"/>
        <v>1.8054810794610278E-2</v>
      </c>
      <c r="P119">
        <f t="shared" si="8"/>
        <v>4.0037351241650105</v>
      </c>
      <c r="Q119">
        <f t="shared" si="9"/>
        <v>1.10544</v>
      </c>
    </row>
    <row r="120" spans="2:17" x14ac:dyDescent="0.25">
      <c r="B120" s="13"/>
      <c r="C120">
        <v>110</v>
      </c>
      <c r="D120">
        <v>7.84</v>
      </c>
      <c r="E120" s="13"/>
      <c r="F120">
        <v>63.5</v>
      </c>
      <c r="G120">
        <v>10.46</v>
      </c>
      <c r="H120">
        <f t="shared" si="13"/>
        <v>82.006399999999999</v>
      </c>
      <c r="I120">
        <f t="shared" si="12"/>
        <v>69.971124000000003</v>
      </c>
      <c r="J120">
        <v>146</v>
      </c>
      <c r="K120">
        <v>30044</v>
      </c>
      <c r="M120">
        <f t="shared" si="10"/>
        <v>5.146752817518567E-2</v>
      </c>
      <c r="N120">
        <f t="shared" si="11"/>
        <v>1.4291609778913941E-2</v>
      </c>
      <c r="P120">
        <f t="shared" si="8"/>
        <v>4.9939477678910533</v>
      </c>
      <c r="Q120">
        <f t="shared" si="9"/>
        <v>1.4308000000000001</v>
      </c>
    </row>
    <row r="121" spans="2:17" x14ac:dyDescent="0.25">
      <c r="B121" s="13"/>
      <c r="C121">
        <v>110</v>
      </c>
      <c r="D121">
        <v>7.82</v>
      </c>
      <c r="E121" s="13"/>
      <c r="F121">
        <v>63.5</v>
      </c>
      <c r="G121">
        <v>12.34</v>
      </c>
      <c r="H121">
        <f t="shared" si="13"/>
        <v>96.498800000000003</v>
      </c>
      <c r="I121">
        <f t="shared" si="12"/>
        <v>79.748484000000005</v>
      </c>
      <c r="J121">
        <v>160</v>
      </c>
      <c r="K121">
        <v>30658</v>
      </c>
      <c r="M121">
        <f t="shared" si="10"/>
        <v>4.4862412122329505E-2</v>
      </c>
      <c r="N121">
        <f t="shared" si="11"/>
        <v>1.2539423319946745E-2</v>
      </c>
      <c r="P121">
        <f t="shared" si="8"/>
        <v>5.200153085486229</v>
      </c>
      <c r="Q121">
        <f t="shared" si="9"/>
        <v>1.5680000000000001</v>
      </c>
    </row>
    <row r="122" spans="2:17" x14ac:dyDescent="0.25">
      <c r="B122" s="13"/>
      <c r="C122">
        <v>110</v>
      </c>
      <c r="D122">
        <v>7.78</v>
      </c>
      <c r="E122" s="13"/>
      <c r="F122">
        <v>63.5</v>
      </c>
      <c r="G122">
        <v>14.77</v>
      </c>
      <c r="H122">
        <f t="shared" si="13"/>
        <v>114.9106</v>
      </c>
      <c r="I122">
        <f t="shared" si="12"/>
        <v>90.913781</v>
      </c>
      <c r="J122">
        <v>186</v>
      </c>
      <c r="K122">
        <v>33813</v>
      </c>
      <c r="M122">
        <f t="shared" si="10"/>
        <v>3.5792594337628679E-2</v>
      </c>
      <c r="N122">
        <f t="shared" si="11"/>
        <v>1.0999432528276433E-2</v>
      </c>
      <c r="P122">
        <f t="shared" si="8"/>
        <v>6.3255151190150869</v>
      </c>
      <c r="Q122">
        <f t="shared" si="9"/>
        <v>1.8228000000000002</v>
      </c>
    </row>
    <row r="123" spans="2:17" x14ac:dyDescent="0.25">
      <c r="B123" s="2"/>
      <c r="E123" s="2"/>
      <c r="G123" s="2"/>
      <c r="H123" s="2"/>
      <c r="M123" t="e">
        <f t="shared" si="10"/>
        <v>#DIV/0!</v>
      </c>
      <c r="N123" t="e">
        <f t="shared" si="11"/>
        <v>#DIV/0!</v>
      </c>
    </row>
    <row r="124" spans="2:17" x14ac:dyDescent="0.25">
      <c r="B124" s="2"/>
      <c r="E124" s="2"/>
      <c r="G124" s="2"/>
      <c r="H124" s="2"/>
      <c r="M124" t="e">
        <f t="shared" si="10"/>
        <v>#DIV/0!</v>
      </c>
      <c r="N124" t="e">
        <f t="shared" si="11"/>
        <v>#DIV/0!</v>
      </c>
    </row>
    <row r="125" spans="2:17" x14ac:dyDescent="0.25">
      <c r="B125" s="2"/>
      <c r="E125" s="2"/>
      <c r="G125" s="2"/>
      <c r="H125" s="2"/>
      <c r="M125" t="e">
        <f t="shared" si="10"/>
        <v>#DIV/0!</v>
      </c>
      <c r="N125" t="e">
        <f t="shared" si="11"/>
        <v>#DIV/0!</v>
      </c>
    </row>
    <row r="126" spans="2:17" x14ac:dyDescent="0.25">
      <c r="B126" s="2"/>
      <c r="E126" s="2"/>
      <c r="G126" s="2"/>
      <c r="H126" s="2"/>
      <c r="M126" t="e">
        <f t="shared" si="10"/>
        <v>#DIV/0!</v>
      </c>
      <c r="N126" t="e">
        <f t="shared" si="11"/>
        <v>#DIV/0!</v>
      </c>
    </row>
    <row r="127" spans="2:17" x14ac:dyDescent="0.25">
      <c r="B127" s="2"/>
      <c r="D127" s="2"/>
      <c r="E127" s="2"/>
      <c r="G127" s="2"/>
      <c r="H127" s="2"/>
      <c r="M127" t="e">
        <f t="shared" si="10"/>
        <v>#DIV/0!</v>
      </c>
      <c r="N127" t="e">
        <f t="shared" si="11"/>
        <v>#DIV/0!</v>
      </c>
    </row>
    <row r="128" spans="2:17" x14ac:dyDescent="0.25">
      <c r="B128" s="2"/>
      <c r="D128" s="2"/>
      <c r="E128" s="2"/>
      <c r="G128" s="2"/>
      <c r="H128" s="2"/>
      <c r="M128" t="e">
        <f t="shared" si="10"/>
        <v>#DIV/0!</v>
      </c>
      <c r="N128" t="e">
        <f t="shared" si="11"/>
        <v>#DIV/0!</v>
      </c>
    </row>
    <row r="129" spans="2:14" x14ac:dyDescent="0.25">
      <c r="B129" s="2"/>
      <c r="D129" s="2"/>
      <c r="E129" s="2"/>
      <c r="G129" s="2"/>
      <c r="H129" s="2"/>
      <c r="M129" t="e">
        <f t="shared" si="10"/>
        <v>#DIV/0!</v>
      </c>
      <c r="N129" t="e">
        <f t="shared" si="11"/>
        <v>#DIV/0!</v>
      </c>
    </row>
    <row r="130" spans="2:14" x14ac:dyDescent="0.25">
      <c r="B130" s="2"/>
      <c r="D130" s="2"/>
      <c r="E130" s="2"/>
      <c r="G130" s="2"/>
      <c r="H130" s="2"/>
      <c r="M130" t="e">
        <f t="shared" si="10"/>
        <v>#DIV/0!</v>
      </c>
      <c r="N130" t="e">
        <f t="shared" si="11"/>
        <v>#DIV/0!</v>
      </c>
    </row>
    <row r="131" spans="2:14" x14ac:dyDescent="0.25">
      <c r="B131" s="2"/>
      <c r="D131" s="2"/>
      <c r="E131" s="2"/>
      <c r="G131" s="2"/>
      <c r="H131" s="2"/>
      <c r="M131" t="e">
        <f t="shared" si="10"/>
        <v>#DIV/0!</v>
      </c>
      <c r="N131" t="e">
        <f t="shared" si="11"/>
        <v>#DIV/0!</v>
      </c>
    </row>
    <row r="132" spans="2:14" x14ac:dyDescent="0.25">
      <c r="B132" s="2"/>
      <c r="D132" s="2"/>
      <c r="E132" s="2"/>
      <c r="G132" s="2"/>
      <c r="H132" s="2"/>
      <c r="M132" t="e">
        <f t="shared" si="10"/>
        <v>#DIV/0!</v>
      </c>
      <c r="N132" t="e">
        <f t="shared" si="11"/>
        <v>#DIV/0!</v>
      </c>
    </row>
    <row r="133" spans="2:14" x14ac:dyDescent="0.25">
      <c r="B133" s="2"/>
      <c r="D133" s="2"/>
      <c r="E133" s="2"/>
      <c r="G133" s="2"/>
      <c r="H133" s="2"/>
      <c r="M133" t="e">
        <f t="shared" si="10"/>
        <v>#DIV/0!</v>
      </c>
      <c r="N133" t="e">
        <f t="shared" si="11"/>
        <v>#DIV/0!</v>
      </c>
    </row>
    <row r="134" spans="2:14" x14ac:dyDescent="0.25">
      <c r="B134" s="2"/>
      <c r="D134" s="2"/>
      <c r="E134" s="2"/>
      <c r="G134" s="2"/>
      <c r="H134" s="2"/>
      <c r="M134" t="e">
        <f t="shared" si="10"/>
        <v>#DIV/0!</v>
      </c>
      <c r="N134" t="e">
        <f t="shared" si="11"/>
        <v>#DIV/0!</v>
      </c>
    </row>
    <row r="135" spans="2:14" x14ac:dyDescent="0.25">
      <c r="B135" s="2"/>
      <c r="D135" s="2"/>
      <c r="E135" s="2"/>
      <c r="G135" s="2"/>
      <c r="H135" s="2"/>
      <c r="M135" t="e">
        <f t="shared" si="10"/>
        <v>#DIV/0!</v>
      </c>
      <c r="N135" t="e">
        <f t="shared" si="11"/>
        <v>#DIV/0!</v>
      </c>
    </row>
    <row r="136" spans="2:14" x14ac:dyDescent="0.25">
      <c r="B136" s="2"/>
      <c r="D136" s="2"/>
      <c r="E136" s="2"/>
      <c r="G136" s="2"/>
      <c r="H136" s="2"/>
      <c r="M136" t="e">
        <f t="shared" si="10"/>
        <v>#DIV/0!</v>
      </c>
      <c r="N136" t="e">
        <f t="shared" si="11"/>
        <v>#DIV/0!</v>
      </c>
    </row>
    <row r="137" spans="2:14" x14ac:dyDescent="0.25">
      <c r="B137" s="2"/>
      <c r="D137" s="2"/>
      <c r="E137" s="2"/>
      <c r="G137" s="2"/>
      <c r="H137" s="2"/>
      <c r="M137" t="e">
        <f t="shared" si="10"/>
        <v>#DIV/0!</v>
      </c>
      <c r="N137" t="e">
        <f t="shared" si="11"/>
        <v>#DIV/0!</v>
      </c>
    </row>
    <row r="138" spans="2:14" x14ac:dyDescent="0.25">
      <c r="B138" s="2"/>
      <c r="D138" s="2"/>
      <c r="E138" s="2"/>
      <c r="G138" s="2"/>
      <c r="H138" s="2"/>
      <c r="M138" t="e">
        <f t="shared" si="10"/>
        <v>#DIV/0!</v>
      </c>
      <c r="N138" t="e">
        <f t="shared" si="11"/>
        <v>#DIV/0!</v>
      </c>
    </row>
    <row r="139" spans="2:14" x14ac:dyDescent="0.25">
      <c r="B139" s="2"/>
      <c r="D139" s="2"/>
      <c r="E139" s="2"/>
      <c r="G139" s="2"/>
      <c r="H139" s="2"/>
      <c r="M139" t="e">
        <f t="shared" si="10"/>
        <v>#DIV/0!</v>
      </c>
      <c r="N139" t="e">
        <f t="shared" si="11"/>
        <v>#DIV/0!</v>
      </c>
    </row>
    <row r="140" spans="2:14" x14ac:dyDescent="0.25">
      <c r="B140" s="2"/>
      <c r="D140" s="2"/>
      <c r="E140" s="2"/>
      <c r="G140" s="2"/>
      <c r="H140" s="2"/>
      <c r="M140" t="e">
        <f t="shared" si="10"/>
        <v>#DIV/0!</v>
      </c>
      <c r="N140" t="e">
        <f t="shared" si="11"/>
        <v>#DIV/0!</v>
      </c>
    </row>
    <row r="141" spans="2:14" x14ac:dyDescent="0.25">
      <c r="B141" s="2"/>
      <c r="D141" s="2"/>
      <c r="E141" s="2"/>
      <c r="G141" s="2"/>
      <c r="H141" s="2"/>
      <c r="M141" t="e">
        <f t="shared" si="10"/>
        <v>#DIV/0!</v>
      </c>
      <c r="N141" t="e">
        <f t="shared" si="11"/>
        <v>#DIV/0!</v>
      </c>
    </row>
    <row r="142" spans="2:14" x14ac:dyDescent="0.25">
      <c r="B142" s="2"/>
      <c r="D142" s="2"/>
      <c r="E142" s="2"/>
      <c r="G142" s="2"/>
      <c r="H142" s="2"/>
      <c r="M142" t="e">
        <f t="shared" si="10"/>
        <v>#DIV/0!</v>
      </c>
      <c r="N142" t="e">
        <f t="shared" si="11"/>
        <v>#DIV/0!</v>
      </c>
    </row>
    <row r="143" spans="2:14" x14ac:dyDescent="0.25">
      <c r="B143" s="2"/>
      <c r="D143" s="2"/>
      <c r="E143" s="2"/>
      <c r="G143" s="2"/>
      <c r="H143" s="2"/>
      <c r="M143" t="e">
        <f t="shared" si="10"/>
        <v>#DIV/0!</v>
      </c>
      <c r="N143" t="e">
        <f t="shared" si="11"/>
        <v>#DIV/0!</v>
      </c>
    </row>
    <row r="144" spans="2:14" x14ac:dyDescent="0.25">
      <c r="B144" s="2"/>
      <c r="D144" s="2"/>
      <c r="E144" s="2"/>
      <c r="G144" s="2"/>
      <c r="H144" s="2"/>
      <c r="M144" t="e">
        <f t="shared" si="10"/>
        <v>#DIV/0!</v>
      </c>
      <c r="N144" t="e">
        <f t="shared" si="11"/>
        <v>#DIV/0!</v>
      </c>
    </row>
    <row r="145" spans="2:14" x14ac:dyDescent="0.25">
      <c r="B145" s="2"/>
      <c r="D145" s="2"/>
      <c r="E145" s="2"/>
      <c r="G145" s="2"/>
      <c r="H145" s="2"/>
      <c r="M145" t="e">
        <f t="shared" si="10"/>
        <v>#DIV/0!</v>
      </c>
      <c r="N145" t="e">
        <f t="shared" si="11"/>
        <v>#DIV/0!</v>
      </c>
    </row>
    <row r="146" spans="2:14" x14ac:dyDescent="0.25">
      <c r="B146" s="2"/>
      <c r="D146" s="2"/>
      <c r="E146" s="2"/>
      <c r="G146" s="2"/>
      <c r="H146" s="2"/>
      <c r="M146" t="e">
        <f t="shared" si="10"/>
        <v>#DIV/0!</v>
      </c>
      <c r="N146" t="e">
        <f t="shared" si="11"/>
        <v>#DIV/0!</v>
      </c>
    </row>
    <row r="147" spans="2:14" x14ac:dyDescent="0.25">
      <c r="B147" s="2"/>
      <c r="D147" s="2"/>
      <c r="E147" s="2"/>
      <c r="G147" s="2"/>
      <c r="H147" s="2"/>
      <c r="M147" t="e">
        <f t="shared" si="10"/>
        <v>#DIV/0!</v>
      </c>
      <c r="N147" t="e">
        <f t="shared" si="11"/>
        <v>#DIV/0!</v>
      </c>
    </row>
    <row r="148" spans="2:14" x14ac:dyDescent="0.25">
      <c r="B148" s="2"/>
      <c r="D148" s="2"/>
      <c r="E148" s="2"/>
      <c r="G148" s="2"/>
      <c r="H148" s="2"/>
      <c r="M148" t="e">
        <f t="shared" si="10"/>
        <v>#DIV/0!</v>
      </c>
      <c r="N148" t="e">
        <f t="shared" si="11"/>
        <v>#DIV/0!</v>
      </c>
    </row>
    <row r="149" spans="2:14" x14ac:dyDescent="0.25">
      <c r="B149" s="2"/>
      <c r="D149" s="2"/>
      <c r="E149" s="2"/>
      <c r="G149" s="2"/>
      <c r="H149" s="2"/>
      <c r="M149" t="e">
        <f t="shared" si="10"/>
        <v>#DIV/0!</v>
      </c>
      <c r="N149" t="e">
        <f t="shared" si="11"/>
        <v>#DIV/0!</v>
      </c>
    </row>
    <row r="150" spans="2:14" x14ac:dyDescent="0.25">
      <c r="B150" s="2"/>
      <c r="D150" s="2"/>
      <c r="E150" s="2"/>
      <c r="G150" s="2"/>
      <c r="H150" s="2"/>
      <c r="M150" t="e">
        <f t="shared" si="10"/>
        <v>#DIV/0!</v>
      </c>
      <c r="N150" t="e">
        <f t="shared" si="11"/>
        <v>#DIV/0!</v>
      </c>
    </row>
    <row r="151" spans="2:14" x14ac:dyDescent="0.25">
      <c r="B151" s="2"/>
      <c r="D151" s="2"/>
      <c r="E151" s="2"/>
      <c r="G151" s="2"/>
      <c r="H151" s="2"/>
      <c r="M151" t="e">
        <f t="shared" si="10"/>
        <v>#DIV/0!</v>
      </c>
      <c r="N151" t="e">
        <f t="shared" si="11"/>
        <v>#DIV/0!</v>
      </c>
    </row>
    <row r="152" spans="2:14" x14ac:dyDescent="0.25">
      <c r="B152" s="2"/>
      <c r="D152" s="2"/>
      <c r="E152" s="2"/>
      <c r="G152" s="2"/>
      <c r="H152" s="2"/>
      <c r="M152" t="e">
        <f t="shared" si="10"/>
        <v>#DIV/0!</v>
      </c>
      <c r="N152" t="e">
        <f t="shared" si="11"/>
        <v>#DIV/0!</v>
      </c>
    </row>
    <row r="153" spans="2:14" x14ac:dyDescent="0.25">
      <c r="B153" s="2"/>
      <c r="D153" s="2"/>
      <c r="E153" s="2"/>
      <c r="G153" s="2"/>
      <c r="H153" s="2"/>
      <c r="M153" t="e">
        <f t="shared" si="10"/>
        <v>#DIV/0!</v>
      </c>
      <c r="N153" t="e">
        <f t="shared" si="11"/>
        <v>#DIV/0!</v>
      </c>
    </row>
    <row r="154" spans="2:14" x14ac:dyDescent="0.25">
      <c r="B154" s="2"/>
      <c r="D154" s="2"/>
      <c r="E154" s="2"/>
      <c r="G154" s="2"/>
      <c r="H154" s="2"/>
      <c r="M154" t="e">
        <f t="shared" si="10"/>
        <v>#DIV/0!</v>
      </c>
      <c r="N154" t="e">
        <f t="shared" si="11"/>
        <v>#DIV/0!</v>
      </c>
    </row>
    <row r="155" spans="2:14" x14ac:dyDescent="0.25">
      <c r="B155" s="2"/>
      <c r="D155" s="2"/>
      <c r="E155" s="2"/>
      <c r="G155" s="2"/>
      <c r="H155" s="2"/>
      <c r="M155" t="e">
        <f t="shared" si="10"/>
        <v>#DIV/0!</v>
      </c>
      <c r="N155" t="e">
        <f t="shared" si="11"/>
        <v>#DIV/0!</v>
      </c>
    </row>
    <row r="156" spans="2:14" x14ac:dyDescent="0.25">
      <c r="B156" s="2"/>
      <c r="D156" s="2"/>
      <c r="E156" s="2"/>
      <c r="G156" s="2"/>
      <c r="H156" s="2"/>
      <c r="M156" t="e">
        <f t="shared" si="10"/>
        <v>#DIV/0!</v>
      </c>
      <c r="N156" t="e">
        <f t="shared" si="11"/>
        <v>#DIV/0!</v>
      </c>
    </row>
    <row r="157" spans="2:14" x14ac:dyDescent="0.25">
      <c r="B157" s="2"/>
      <c r="D157" s="2"/>
      <c r="E157" s="2"/>
      <c r="G157" s="2"/>
      <c r="H157" s="2"/>
      <c r="M157" t="e">
        <f t="shared" si="10"/>
        <v>#DIV/0!</v>
      </c>
      <c r="N157" t="e">
        <f t="shared" si="11"/>
        <v>#DIV/0!</v>
      </c>
    </row>
    <row r="158" spans="2:14" x14ac:dyDescent="0.25">
      <c r="B158" s="2"/>
      <c r="D158" s="2"/>
      <c r="E158" s="2"/>
      <c r="G158" s="2"/>
      <c r="H158" s="2"/>
      <c r="M158" t="e">
        <f t="shared" si="10"/>
        <v>#DIV/0!</v>
      </c>
      <c r="N158" t="e">
        <f t="shared" si="11"/>
        <v>#DIV/0!</v>
      </c>
    </row>
    <row r="159" spans="2:14" x14ac:dyDescent="0.25">
      <c r="B159" s="2"/>
      <c r="D159" s="2"/>
      <c r="E159" s="2"/>
      <c r="G159" s="2"/>
      <c r="H159" s="2"/>
      <c r="M159" t="e">
        <f t="shared" si="10"/>
        <v>#DIV/0!</v>
      </c>
      <c r="N159" t="e">
        <f t="shared" si="11"/>
        <v>#DIV/0!</v>
      </c>
    </row>
    <row r="160" spans="2:14" x14ac:dyDescent="0.25">
      <c r="B160" s="2"/>
      <c r="D160" s="2"/>
      <c r="E160" s="2"/>
      <c r="G160" s="2"/>
      <c r="H160" s="2"/>
      <c r="M160" t="e">
        <f t="shared" si="10"/>
        <v>#DIV/0!</v>
      </c>
      <c r="N160" t="e">
        <f t="shared" si="11"/>
        <v>#DIV/0!</v>
      </c>
    </row>
    <row r="161" spans="2:14" x14ac:dyDescent="0.25">
      <c r="B161" s="2"/>
      <c r="D161" s="2"/>
      <c r="E161" s="2"/>
      <c r="G161" s="2"/>
      <c r="H161" s="2"/>
      <c r="M161" t="e">
        <f t="shared" ref="M161:M224" si="14">1/(((2/PI()/1.225)^(1/2))/F161*1000*((J161/1000*9.8)^(3/2)))</f>
        <v>#DIV/0!</v>
      </c>
      <c r="N161" t="e">
        <f t="shared" ref="N161:N224" si="15">1/I161</f>
        <v>#DIV/0!</v>
      </c>
    </row>
    <row r="162" spans="2:14" x14ac:dyDescent="0.25">
      <c r="B162" s="2"/>
      <c r="D162" s="2"/>
      <c r="E162" s="2"/>
      <c r="G162" s="2"/>
      <c r="H162" s="2"/>
      <c r="M162" t="e">
        <f t="shared" si="14"/>
        <v>#DIV/0!</v>
      </c>
      <c r="N162" t="e">
        <f t="shared" si="15"/>
        <v>#DIV/0!</v>
      </c>
    </row>
    <row r="163" spans="2:14" x14ac:dyDescent="0.25">
      <c r="B163" s="2"/>
      <c r="D163" s="2"/>
      <c r="E163" s="2"/>
      <c r="G163" s="2"/>
      <c r="H163" s="2"/>
      <c r="M163" t="e">
        <f t="shared" si="14"/>
        <v>#DIV/0!</v>
      </c>
      <c r="N163" t="e">
        <f t="shared" si="15"/>
        <v>#DIV/0!</v>
      </c>
    </row>
    <row r="164" spans="2:14" x14ac:dyDescent="0.25">
      <c r="B164" s="2"/>
      <c r="D164" s="2"/>
      <c r="E164" s="2"/>
      <c r="G164" s="2"/>
      <c r="H164" s="2"/>
      <c r="M164" t="e">
        <f t="shared" si="14"/>
        <v>#DIV/0!</v>
      </c>
      <c r="N164" t="e">
        <f t="shared" si="15"/>
        <v>#DIV/0!</v>
      </c>
    </row>
    <row r="165" spans="2:14" x14ac:dyDescent="0.25">
      <c r="B165" s="2"/>
      <c r="D165" s="2"/>
      <c r="E165" s="2"/>
      <c r="G165" s="2"/>
      <c r="H165" s="2"/>
      <c r="M165" t="e">
        <f t="shared" si="14"/>
        <v>#DIV/0!</v>
      </c>
      <c r="N165" t="e">
        <f t="shared" si="15"/>
        <v>#DIV/0!</v>
      </c>
    </row>
    <row r="166" spans="2:14" x14ac:dyDescent="0.25">
      <c r="B166" s="2"/>
      <c r="D166" s="2"/>
      <c r="E166" s="2"/>
      <c r="G166" s="2"/>
      <c r="H166" s="2"/>
      <c r="M166" t="e">
        <f t="shared" si="14"/>
        <v>#DIV/0!</v>
      </c>
      <c r="N166" t="e">
        <f t="shared" si="15"/>
        <v>#DIV/0!</v>
      </c>
    </row>
    <row r="167" spans="2:14" x14ac:dyDescent="0.25">
      <c r="B167" s="2"/>
      <c r="D167" s="2"/>
      <c r="E167" s="2"/>
      <c r="G167" s="2"/>
      <c r="H167" s="2"/>
      <c r="M167" t="e">
        <f t="shared" si="14"/>
        <v>#DIV/0!</v>
      </c>
      <c r="N167" t="e">
        <f t="shared" si="15"/>
        <v>#DIV/0!</v>
      </c>
    </row>
    <row r="168" spans="2:14" x14ac:dyDescent="0.25">
      <c r="B168" s="2"/>
      <c r="D168" s="2"/>
      <c r="E168" s="2"/>
      <c r="G168" s="2"/>
      <c r="H168" s="2"/>
      <c r="M168" t="e">
        <f t="shared" si="14"/>
        <v>#DIV/0!</v>
      </c>
      <c r="N168" t="e">
        <f t="shared" si="15"/>
        <v>#DIV/0!</v>
      </c>
    </row>
    <row r="169" spans="2:14" x14ac:dyDescent="0.25">
      <c r="B169" s="2"/>
      <c r="D169" s="2"/>
      <c r="E169" s="2"/>
      <c r="G169" s="2"/>
      <c r="H169" s="2"/>
      <c r="M169" t="e">
        <f t="shared" si="14"/>
        <v>#DIV/0!</v>
      </c>
      <c r="N169" t="e">
        <f t="shared" si="15"/>
        <v>#DIV/0!</v>
      </c>
    </row>
    <row r="170" spans="2:14" x14ac:dyDescent="0.25">
      <c r="B170" s="2"/>
      <c r="D170" s="2"/>
      <c r="E170" s="2"/>
      <c r="G170" s="2"/>
      <c r="H170" s="2"/>
      <c r="M170" t="e">
        <f t="shared" si="14"/>
        <v>#DIV/0!</v>
      </c>
      <c r="N170" t="e">
        <f t="shared" si="15"/>
        <v>#DIV/0!</v>
      </c>
    </row>
    <row r="171" spans="2:14" x14ac:dyDescent="0.25">
      <c r="B171" s="2"/>
      <c r="D171" s="2"/>
      <c r="E171" s="2"/>
      <c r="G171" s="2"/>
      <c r="H171" s="2"/>
      <c r="M171" t="e">
        <f t="shared" si="14"/>
        <v>#DIV/0!</v>
      </c>
      <c r="N171" t="e">
        <f t="shared" si="15"/>
        <v>#DIV/0!</v>
      </c>
    </row>
    <row r="172" spans="2:14" x14ac:dyDescent="0.25">
      <c r="B172" s="2"/>
      <c r="D172" s="2"/>
      <c r="E172" s="2"/>
      <c r="G172" s="2"/>
      <c r="H172" s="2"/>
      <c r="M172" t="e">
        <f t="shared" si="14"/>
        <v>#DIV/0!</v>
      </c>
      <c r="N172" t="e">
        <f t="shared" si="15"/>
        <v>#DIV/0!</v>
      </c>
    </row>
    <row r="173" spans="2:14" x14ac:dyDescent="0.25">
      <c r="B173" s="2"/>
      <c r="D173" s="2"/>
      <c r="E173" s="2"/>
      <c r="G173" s="2"/>
      <c r="H173" s="2"/>
      <c r="M173" t="e">
        <f t="shared" si="14"/>
        <v>#DIV/0!</v>
      </c>
      <c r="N173" t="e">
        <f t="shared" si="15"/>
        <v>#DIV/0!</v>
      </c>
    </row>
    <row r="174" spans="2:14" x14ac:dyDescent="0.25">
      <c r="B174" s="2"/>
      <c r="D174" s="2"/>
      <c r="E174" s="2"/>
      <c r="G174" s="2"/>
      <c r="H174" s="2"/>
      <c r="M174" t="e">
        <f t="shared" si="14"/>
        <v>#DIV/0!</v>
      </c>
      <c r="N174" t="e">
        <f t="shared" si="15"/>
        <v>#DIV/0!</v>
      </c>
    </row>
    <row r="175" spans="2:14" x14ac:dyDescent="0.25">
      <c r="B175" s="2"/>
      <c r="D175" s="2"/>
      <c r="E175" s="2"/>
      <c r="G175" s="2"/>
      <c r="H175" s="2"/>
      <c r="M175" t="e">
        <f t="shared" si="14"/>
        <v>#DIV/0!</v>
      </c>
      <c r="N175" t="e">
        <f t="shared" si="15"/>
        <v>#DIV/0!</v>
      </c>
    </row>
    <row r="176" spans="2:14" x14ac:dyDescent="0.25">
      <c r="B176" s="2"/>
      <c r="D176" s="2"/>
      <c r="E176" s="2"/>
      <c r="G176" s="2"/>
      <c r="H176" s="2"/>
      <c r="M176" t="e">
        <f t="shared" si="14"/>
        <v>#DIV/0!</v>
      </c>
      <c r="N176" t="e">
        <f t="shared" si="15"/>
        <v>#DIV/0!</v>
      </c>
    </row>
    <row r="177" spans="2:14" x14ac:dyDescent="0.25">
      <c r="B177" s="2"/>
      <c r="D177" s="2"/>
      <c r="E177" s="2"/>
      <c r="G177" s="2"/>
      <c r="H177" s="2"/>
      <c r="M177" t="e">
        <f t="shared" si="14"/>
        <v>#DIV/0!</v>
      </c>
      <c r="N177" t="e">
        <f t="shared" si="15"/>
        <v>#DIV/0!</v>
      </c>
    </row>
    <row r="178" spans="2:14" x14ac:dyDescent="0.25">
      <c r="B178" s="2"/>
      <c r="D178" s="2"/>
      <c r="E178" s="2"/>
      <c r="G178" s="2"/>
      <c r="H178" s="2"/>
      <c r="M178" t="e">
        <f t="shared" si="14"/>
        <v>#DIV/0!</v>
      </c>
      <c r="N178" t="e">
        <f t="shared" si="15"/>
        <v>#DIV/0!</v>
      </c>
    </row>
    <row r="179" spans="2:14" x14ac:dyDescent="0.25">
      <c r="B179" s="2"/>
      <c r="D179" s="2"/>
      <c r="E179" s="2"/>
      <c r="G179" s="2"/>
      <c r="H179" s="2"/>
      <c r="M179" t="e">
        <f t="shared" si="14"/>
        <v>#DIV/0!</v>
      </c>
      <c r="N179" t="e">
        <f t="shared" si="15"/>
        <v>#DIV/0!</v>
      </c>
    </row>
    <row r="180" spans="2:14" x14ac:dyDescent="0.25">
      <c r="B180" s="2"/>
      <c r="D180" s="2"/>
      <c r="E180" s="2"/>
      <c r="G180" s="2"/>
      <c r="H180" s="2"/>
      <c r="M180" t="e">
        <f t="shared" si="14"/>
        <v>#DIV/0!</v>
      </c>
      <c r="N180" t="e">
        <f t="shared" si="15"/>
        <v>#DIV/0!</v>
      </c>
    </row>
    <row r="181" spans="2:14" x14ac:dyDescent="0.25">
      <c r="B181" s="2"/>
      <c r="D181" s="2"/>
      <c r="E181" s="2"/>
      <c r="G181" s="2"/>
      <c r="H181" s="2"/>
      <c r="M181" t="e">
        <f t="shared" si="14"/>
        <v>#DIV/0!</v>
      </c>
      <c r="N181" t="e">
        <f t="shared" si="15"/>
        <v>#DIV/0!</v>
      </c>
    </row>
    <row r="182" spans="2:14" x14ac:dyDescent="0.25">
      <c r="B182" s="2"/>
      <c r="D182" s="2"/>
      <c r="E182" s="2"/>
      <c r="G182" s="2"/>
      <c r="H182" s="2"/>
      <c r="M182" t="e">
        <f t="shared" si="14"/>
        <v>#DIV/0!</v>
      </c>
      <c r="N182" t="e">
        <f t="shared" si="15"/>
        <v>#DIV/0!</v>
      </c>
    </row>
    <row r="183" spans="2:14" x14ac:dyDescent="0.25">
      <c r="B183" s="2"/>
      <c r="D183" s="2"/>
      <c r="E183" s="2"/>
      <c r="G183" s="2"/>
      <c r="H183" s="2"/>
      <c r="M183" t="e">
        <f t="shared" si="14"/>
        <v>#DIV/0!</v>
      </c>
      <c r="N183" t="e">
        <f t="shared" si="15"/>
        <v>#DIV/0!</v>
      </c>
    </row>
    <row r="184" spans="2:14" x14ac:dyDescent="0.25">
      <c r="B184" s="2"/>
      <c r="D184" s="2"/>
      <c r="E184" s="2"/>
      <c r="G184" s="2"/>
      <c r="H184" s="2"/>
      <c r="M184" t="e">
        <f t="shared" si="14"/>
        <v>#DIV/0!</v>
      </c>
      <c r="N184" t="e">
        <f t="shared" si="15"/>
        <v>#DIV/0!</v>
      </c>
    </row>
    <row r="185" spans="2:14" x14ac:dyDescent="0.25">
      <c r="B185" s="2"/>
      <c r="D185" s="2"/>
      <c r="E185" s="2"/>
      <c r="G185" s="2"/>
      <c r="H185" s="2"/>
      <c r="M185" t="e">
        <f t="shared" si="14"/>
        <v>#DIV/0!</v>
      </c>
      <c r="N185" t="e">
        <f t="shared" si="15"/>
        <v>#DIV/0!</v>
      </c>
    </row>
    <row r="186" spans="2:14" x14ac:dyDescent="0.25">
      <c r="B186" s="2"/>
      <c r="D186" s="2"/>
      <c r="E186" s="2"/>
      <c r="G186" s="2"/>
      <c r="H186" s="2"/>
      <c r="M186" t="e">
        <f t="shared" si="14"/>
        <v>#DIV/0!</v>
      </c>
      <c r="N186" t="e">
        <f t="shared" si="15"/>
        <v>#DIV/0!</v>
      </c>
    </row>
    <row r="187" spans="2:14" x14ac:dyDescent="0.25">
      <c r="B187" s="2"/>
      <c r="D187" s="2"/>
      <c r="E187" s="2"/>
      <c r="G187" s="2"/>
      <c r="H187" s="2"/>
      <c r="M187" t="e">
        <f t="shared" si="14"/>
        <v>#DIV/0!</v>
      </c>
      <c r="N187" t="e">
        <f t="shared" si="15"/>
        <v>#DIV/0!</v>
      </c>
    </row>
    <row r="188" spans="2:14" x14ac:dyDescent="0.25">
      <c r="B188" s="2"/>
      <c r="D188" s="2"/>
      <c r="E188" s="2"/>
      <c r="G188" s="2"/>
      <c r="H188" s="2"/>
      <c r="M188" t="e">
        <f t="shared" si="14"/>
        <v>#DIV/0!</v>
      </c>
      <c r="N188" t="e">
        <f t="shared" si="15"/>
        <v>#DIV/0!</v>
      </c>
    </row>
    <row r="189" spans="2:14" x14ac:dyDescent="0.25">
      <c r="B189" s="2"/>
      <c r="D189" s="2"/>
      <c r="E189" s="2"/>
      <c r="G189" s="2"/>
      <c r="H189" s="2"/>
      <c r="M189" t="e">
        <f t="shared" si="14"/>
        <v>#DIV/0!</v>
      </c>
      <c r="N189" t="e">
        <f t="shared" si="15"/>
        <v>#DIV/0!</v>
      </c>
    </row>
    <row r="190" spans="2:14" x14ac:dyDescent="0.25">
      <c r="B190" s="2"/>
      <c r="D190" s="2"/>
      <c r="E190" s="2"/>
      <c r="G190" s="2"/>
      <c r="H190" s="2"/>
      <c r="M190" t="e">
        <f t="shared" si="14"/>
        <v>#DIV/0!</v>
      </c>
      <c r="N190" t="e">
        <f t="shared" si="15"/>
        <v>#DIV/0!</v>
      </c>
    </row>
    <row r="191" spans="2:14" x14ac:dyDescent="0.25">
      <c r="B191" s="2"/>
      <c r="D191" s="2"/>
      <c r="E191" s="2"/>
      <c r="G191" s="2"/>
      <c r="H191" s="2"/>
      <c r="M191" t="e">
        <f t="shared" si="14"/>
        <v>#DIV/0!</v>
      </c>
      <c r="N191" t="e">
        <f t="shared" si="15"/>
        <v>#DIV/0!</v>
      </c>
    </row>
    <row r="192" spans="2:14" x14ac:dyDescent="0.25">
      <c r="B192" s="2"/>
      <c r="D192" s="2"/>
      <c r="E192" s="2"/>
      <c r="G192" s="2"/>
      <c r="H192" s="2"/>
      <c r="M192" t="e">
        <f t="shared" si="14"/>
        <v>#DIV/0!</v>
      </c>
      <c r="N192" t="e">
        <f t="shared" si="15"/>
        <v>#DIV/0!</v>
      </c>
    </row>
    <row r="193" spans="2:14" x14ac:dyDescent="0.25">
      <c r="B193" s="2"/>
      <c r="D193" s="2"/>
      <c r="E193" s="2"/>
      <c r="G193" s="2"/>
      <c r="H193" s="2"/>
      <c r="M193" t="e">
        <f t="shared" si="14"/>
        <v>#DIV/0!</v>
      </c>
      <c r="N193" t="e">
        <f t="shared" si="15"/>
        <v>#DIV/0!</v>
      </c>
    </row>
    <row r="194" spans="2:14" x14ac:dyDescent="0.25">
      <c r="B194" s="2"/>
      <c r="D194" s="2"/>
      <c r="E194" s="2"/>
      <c r="G194" s="2"/>
      <c r="H194" s="2"/>
      <c r="M194" t="e">
        <f t="shared" si="14"/>
        <v>#DIV/0!</v>
      </c>
      <c r="N194" t="e">
        <f t="shared" si="15"/>
        <v>#DIV/0!</v>
      </c>
    </row>
    <row r="195" spans="2:14" x14ac:dyDescent="0.25">
      <c r="B195" s="2"/>
      <c r="D195" s="2"/>
      <c r="E195" s="2"/>
      <c r="G195" s="2"/>
      <c r="H195" s="2"/>
      <c r="M195" t="e">
        <f t="shared" si="14"/>
        <v>#DIV/0!</v>
      </c>
      <c r="N195" t="e">
        <f t="shared" si="15"/>
        <v>#DIV/0!</v>
      </c>
    </row>
    <row r="196" spans="2:14" x14ac:dyDescent="0.25">
      <c r="B196" s="2"/>
      <c r="D196" s="2"/>
      <c r="E196" s="2"/>
      <c r="G196" s="2"/>
      <c r="H196" s="2"/>
      <c r="M196" t="e">
        <f t="shared" si="14"/>
        <v>#DIV/0!</v>
      </c>
      <c r="N196" t="e">
        <f t="shared" si="15"/>
        <v>#DIV/0!</v>
      </c>
    </row>
    <row r="197" spans="2:14" x14ac:dyDescent="0.25">
      <c r="B197" s="2"/>
      <c r="D197" s="2"/>
      <c r="E197" s="2"/>
      <c r="G197" s="2"/>
      <c r="H197" s="2"/>
      <c r="M197" t="e">
        <f t="shared" si="14"/>
        <v>#DIV/0!</v>
      </c>
      <c r="N197" t="e">
        <f t="shared" si="15"/>
        <v>#DIV/0!</v>
      </c>
    </row>
    <row r="198" spans="2:14" x14ac:dyDescent="0.25">
      <c r="B198" s="2"/>
      <c r="D198" s="2"/>
      <c r="E198" s="2"/>
      <c r="G198" s="2"/>
      <c r="H198" s="2"/>
      <c r="M198" t="e">
        <f t="shared" si="14"/>
        <v>#DIV/0!</v>
      </c>
      <c r="N198" t="e">
        <f t="shared" si="15"/>
        <v>#DIV/0!</v>
      </c>
    </row>
    <row r="199" spans="2:14" x14ac:dyDescent="0.25">
      <c r="B199" s="2"/>
      <c r="D199" s="2"/>
      <c r="E199" s="2"/>
      <c r="G199" s="2"/>
      <c r="H199" s="2"/>
      <c r="M199" t="e">
        <f t="shared" si="14"/>
        <v>#DIV/0!</v>
      </c>
      <c r="N199" t="e">
        <f t="shared" si="15"/>
        <v>#DIV/0!</v>
      </c>
    </row>
    <row r="200" spans="2:14" x14ac:dyDescent="0.25">
      <c r="B200" s="2"/>
      <c r="D200" s="2"/>
      <c r="E200" s="2"/>
      <c r="G200" s="2"/>
      <c r="H200" s="2"/>
      <c r="M200" t="e">
        <f t="shared" si="14"/>
        <v>#DIV/0!</v>
      </c>
      <c r="N200" t="e">
        <f t="shared" si="15"/>
        <v>#DIV/0!</v>
      </c>
    </row>
    <row r="201" spans="2:14" x14ac:dyDescent="0.25">
      <c r="B201" s="2"/>
      <c r="D201" s="2"/>
      <c r="E201" s="2"/>
      <c r="G201" s="2"/>
      <c r="H201" s="2"/>
      <c r="M201" t="e">
        <f t="shared" si="14"/>
        <v>#DIV/0!</v>
      </c>
      <c r="N201" t="e">
        <f t="shared" si="15"/>
        <v>#DIV/0!</v>
      </c>
    </row>
    <row r="202" spans="2:14" x14ac:dyDescent="0.25">
      <c r="B202" s="2"/>
      <c r="D202" s="2"/>
      <c r="E202" s="2"/>
      <c r="G202" s="2"/>
      <c r="H202" s="2"/>
      <c r="M202" t="e">
        <f t="shared" si="14"/>
        <v>#DIV/0!</v>
      </c>
      <c r="N202" t="e">
        <f t="shared" si="15"/>
        <v>#DIV/0!</v>
      </c>
    </row>
    <row r="203" spans="2:14" x14ac:dyDescent="0.25">
      <c r="B203" s="2"/>
      <c r="D203" s="2"/>
      <c r="E203" s="2"/>
      <c r="G203" s="2"/>
      <c r="H203" s="2"/>
      <c r="M203" t="e">
        <f t="shared" si="14"/>
        <v>#DIV/0!</v>
      </c>
      <c r="N203" t="e">
        <f t="shared" si="15"/>
        <v>#DIV/0!</v>
      </c>
    </row>
    <row r="204" spans="2:14" x14ac:dyDescent="0.25">
      <c r="B204" s="2"/>
      <c r="D204" s="2"/>
      <c r="E204" s="2"/>
      <c r="G204" s="2"/>
      <c r="H204" s="2"/>
      <c r="M204" t="e">
        <f t="shared" si="14"/>
        <v>#DIV/0!</v>
      </c>
      <c r="N204" t="e">
        <f t="shared" si="15"/>
        <v>#DIV/0!</v>
      </c>
    </row>
    <row r="205" spans="2:14" x14ac:dyDescent="0.25">
      <c r="B205" s="2"/>
      <c r="D205" s="2"/>
      <c r="E205" s="2"/>
      <c r="G205" s="2"/>
      <c r="H205" s="2"/>
      <c r="M205" t="e">
        <f t="shared" si="14"/>
        <v>#DIV/0!</v>
      </c>
      <c r="N205" t="e">
        <f t="shared" si="15"/>
        <v>#DIV/0!</v>
      </c>
    </row>
    <row r="206" spans="2:14" x14ac:dyDescent="0.25">
      <c r="B206" s="2"/>
      <c r="D206" s="2"/>
      <c r="E206" s="2"/>
      <c r="G206" s="2"/>
      <c r="H206" s="2"/>
      <c r="M206" t="e">
        <f t="shared" si="14"/>
        <v>#DIV/0!</v>
      </c>
      <c r="N206" t="e">
        <f t="shared" si="15"/>
        <v>#DIV/0!</v>
      </c>
    </row>
    <row r="207" spans="2:14" x14ac:dyDescent="0.25">
      <c r="B207" s="2"/>
      <c r="D207" s="2"/>
      <c r="E207" s="2"/>
      <c r="G207" s="2"/>
      <c r="H207" s="2"/>
      <c r="M207" t="e">
        <f t="shared" si="14"/>
        <v>#DIV/0!</v>
      </c>
      <c r="N207" t="e">
        <f t="shared" si="15"/>
        <v>#DIV/0!</v>
      </c>
    </row>
    <row r="208" spans="2:14" x14ac:dyDescent="0.25">
      <c r="B208" s="2"/>
      <c r="D208" s="2"/>
      <c r="E208" s="2"/>
      <c r="G208" s="2"/>
      <c r="H208" s="2"/>
      <c r="M208" t="e">
        <f t="shared" si="14"/>
        <v>#DIV/0!</v>
      </c>
      <c r="N208" t="e">
        <f t="shared" si="15"/>
        <v>#DIV/0!</v>
      </c>
    </row>
    <row r="209" spans="2:14" x14ac:dyDescent="0.25">
      <c r="B209" s="2"/>
      <c r="D209" s="2"/>
      <c r="E209" s="2"/>
      <c r="G209" s="2"/>
      <c r="H209" s="2"/>
      <c r="M209" t="e">
        <f t="shared" si="14"/>
        <v>#DIV/0!</v>
      </c>
      <c r="N209" t="e">
        <f t="shared" si="15"/>
        <v>#DIV/0!</v>
      </c>
    </row>
    <row r="210" spans="2:14" x14ac:dyDescent="0.25">
      <c r="B210" s="2"/>
      <c r="D210" s="2"/>
      <c r="E210" s="2"/>
      <c r="G210" s="2"/>
      <c r="H210" s="2"/>
      <c r="M210" t="e">
        <f t="shared" si="14"/>
        <v>#DIV/0!</v>
      </c>
      <c r="N210" t="e">
        <f t="shared" si="15"/>
        <v>#DIV/0!</v>
      </c>
    </row>
    <row r="211" spans="2:14" x14ac:dyDescent="0.25">
      <c r="B211" s="2"/>
      <c r="D211" s="2"/>
      <c r="E211" s="2"/>
      <c r="G211" s="2"/>
      <c r="H211" s="2"/>
      <c r="M211" t="e">
        <f t="shared" si="14"/>
        <v>#DIV/0!</v>
      </c>
      <c r="N211" t="e">
        <f t="shared" si="15"/>
        <v>#DIV/0!</v>
      </c>
    </row>
    <row r="212" spans="2:14" x14ac:dyDescent="0.25">
      <c r="B212" s="2"/>
      <c r="D212" s="2"/>
      <c r="E212" s="2"/>
      <c r="G212" s="2"/>
      <c r="H212" s="2"/>
      <c r="M212" t="e">
        <f t="shared" si="14"/>
        <v>#DIV/0!</v>
      </c>
      <c r="N212" t="e">
        <f t="shared" si="15"/>
        <v>#DIV/0!</v>
      </c>
    </row>
    <row r="213" spans="2:14" x14ac:dyDescent="0.25">
      <c r="B213" s="2"/>
      <c r="D213" s="2"/>
      <c r="E213" s="2"/>
      <c r="G213" s="2"/>
      <c r="H213" s="2"/>
      <c r="M213" t="e">
        <f t="shared" si="14"/>
        <v>#DIV/0!</v>
      </c>
      <c r="N213" t="e">
        <f t="shared" si="15"/>
        <v>#DIV/0!</v>
      </c>
    </row>
    <row r="214" spans="2:14" x14ac:dyDescent="0.25">
      <c r="B214" s="2"/>
      <c r="D214" s="2"/>
      <c r="E214" s="2"/>
      <c r="G214" s="2"/>
      <c r="H214" s="2"/>
      <c r="M214" t="e">
        <f t="shared" si="14"/>
        <v>#DIV/0!</v>
      </c>
      <c r="N214" t="e">
        <f t="shared" si="15"/>
        <v>#DIV/0!</v>
      </c>
    </row>
    <row r="215" spans="2:14" x14ac:dyDescent="0.25">
      <c r="B215" s="2"/>
      <c r="D215" s="2"/>
      <c r="E215" s="2"/>
      <c r="G215" s="2"/>
      <c r="H215" s="2"/>
      <c r="M215" t="e">
        <f t="shared" si="14"/>
        <v>#DIV/0!</v>
      </c>
      <c r="N215" t="e">
        <f t="shared" si="15"/>
        <v>#DIV/0!</v>
      </c>
    </row>
    <row r="216" spans="2:14" x14ac:dyDescent="0.25">
      <c r="B216" s="2"/>
      <c r="D216" s="2"/>
      <c r="E216" s="2"/>
      <c r="G216" s="2"/>
      <c r="H216" s="2"/>
      <c r="M216" t="e">
        <f t="shared" si="14"/>
        <v>#DIV/0!</v>
      </c>
      <c r="N216" t="e">
        <f t="shared" si="15"/>
        <v>#DIV/0!</v>
      </c>
    </row>
    <row r="217" spans="2:14" x14ac:dyDescent="0.25">
      <c r="B217" s="2"/>
      <c r="D217" s="2"/>
      <c r="E217" s="2"/>
      <c r="G217" s="2"/>
      <c r="H217" s="2"/>
      <c r="M217" t="e">
        <f t="shared" si="14"/>
        <v>#DIV/0!</v>
      </c>
      <c r="N217" t="e">
        <f t="shared" si="15"/>
        <v>#DIV/0!</v>
      </c>
    </row>
    <row r="218" spans="2:14" x14ac:dyDescent="0.25">
      <c r="B218" s="2"/>
      <c r="D218" s="2"/>
      <c r="E218" s="2"/>
      <c r="G218" s="2"/>
      <c r="H218" s="2"/>
      <c r="M218" t="e">
        <f t="shared" si="14"/>
        <v>#DIV/0!</v>
      </c>
      <c r="N218" t="e">
        <f t="shared" si="15"/>
        <v>#DIV/0!</v>
      </c>
    </row>
    <row r="219" spans="2:14" x14ac:dyDescent="0.25">
      <c r="B219" s="2"/>
      <c r="D219" s="2"/>
      <c r="E219" s="2"/>
      <c r="G219" s="2"/>
      <c r="H219" s="2"/>
      <c r="M219" t="e">
        <f t="shared" si="14"/>
        <v>#DIV/0!</v>
      </c>
      <c r="N219" t="e">
        <f t="shared" si="15"/>
        <v>#DIV/0!</v>
      </c>
    </row>
    <row r="220" spans="2:14" x14ac:dyDescent="0.25">
      <c r="B220" s="2"/>
      <c r="D220" s="2"/>
      <c r="E220" s="2"/>
      <c r="G220" s="2"/>
      <c r="H220" s="2"/>
      <c r="M220" t="e">
        <f t="shared" si="14"/>
        <v>#DIV/0!</v>
      </c>
      <c r="N220" t="e">
        <f t="shared" si="15"/>
        <v>#DIV/0!</v>
      </c>
    </row>
    <row r="221" spans="2:14" x14ac:dyDescent="0.25">
      <c r="B221" s="2"/>
      <c r="D221" s="2"/>
      <c r="E221" s="2"/>
      <c r="G221" s="2"/>
      <c r="H221" s="2"/>
      <c r="M221" t="e">
        <f t="shared" si="14"/>
        <v>#DIV/0!</v>
      </c>
      <c r="N221" t="e">
        <f t="shared" si="15"/>
        <v>#DIV/0!</v>
      </c>
    </row>
    <row r="222" spans="2:14" x14ac:dyDescent="0.25">
      <c r="B222" s="2"/>
      <c r="D222" s="2"/>
      <c r="E222" s="2"/>
      <c r="G222" s="2"/>
      <c r="H222" s="2"/>
      <c r="M222" t="e">
        <f t="shared" si="14"/>
        <v>#DIV/0!</v>
      </c>
      <c r="N222" t="e">
        <f t="shared" si="15"/>
        <v>#DIV/0!</v>
      </c>
    </row>
    <row r="223" spans="2:14" x14ac:dyDescent="0.25">
      <c r="B223" s="2"/>
      <c r="D223" s="2"/>
      <c r="E223" s="2"/>
      <c r="G223" s="2"/>
      <c r="H223" s="2"/>
      <c r="M223" t="e">
        <f t="shared" si="14"/>
        <v>#DIV/0!</v>
      </c>
      <c r="N223" t="e">
        <f t="shared" si="15"/>
        <v>#DIV/0!</v>
      </c>
    </row>
    <row r="224" spans="2:14" x14ac:dyDescent="0.25">
      <c r="B224" s="2"/>
      <c r="D224" s="2"/>
      <c r="E224" s="2"/>
      <c r="G224" s="2"/>
      <c r="H224" s="2"/>
      <c r="M224" t="e">
        <f t="shared" si="14"/>
        <v>#DIV/0!</v>
      </c>
      <c r="N224" t="e">
        <f t="shared" si="15"/>
        <v>#DIV/0!</v>
      </c>
    </row>
    <row r="225" spans="1:14" x14ac:dyDescent="0.25">
      <c r="B225" s="2"/>
      <c r="D225" s="2"/>
      <c r="E225" s="2"/>
      <c r="G225" s="2"/>
      <c r="H225" s="2"/>
      <c r="M225" t="e">
        <f t="shared" ref="M225:M288" si="16">1/(((2/PI()/1.225)^(1/2))/F225*1000*((J225/1000*9.8)^(3/2)))</f>
        <v>#DIV/0!</v>
      </c>
      <c r="N225" t="e">
        <f t="shared" ref="N225:N288" si="17">1/I225</f>
        <v>#DIV/0!</v>
      </c>
    </row>
    <row r="226" spans="1:14" x14ac:dyDescent="0.25">
      <c r="B226" s="2"/>
      <c r="D226" s="2"/>
      <c r="E226" s="2"/>
      <c r="G226" s="2"/>
      <c r="H226" s="2"/>
      <c r="M226" t="e">
        <f t="shared" si="16"/>
        <v>#DIV/0!</v>
      </c>
      <c r="N226" t="e">
        <f t="shared" si="17"/>
        <v>#DIV/0!</v>
      </c>
    </row>
    <row r="227" spans="1:14" x14ac:dyDescent="0.25">
      <c r="B227" s="2"/>
      <c r="D227" s="2"/>
      <c r="E227" s="2"/>
      <c r="G227" s="2"/>
      <c r="H227" s="2"/>
      <c r="M227" t="e">
        <f t="shared" si="16"/>
        <v>#DIV/0!</v>
      </c>
      <c r="N227" t="e">
        <f t="shared" si="17"/>
        <v>#DIV/0!</v>
      </c>
    </row>
    <row r="228" spans="1:14" x14ac:dyDescent="0.25">
      <c r="B228" s="2"/>
      <c r="D228" s="2"/>
      <c r="E228" s="2"/>
      <c r="G228" s="2"/>
      <c r="H228" s="2"/>
      <c r="M228" t="e">
        <f t="shared" si="16"/>
        <v>#DIV/0!</v>
      </c>
      <c r="N228" t="e">
        <f t="shared" si="17"/>
        <v>#DIV/0!</v>
      </c>
    </row>
    <row r="229" spans="1:14" x14ac:dyDescent="0.25">
      <c r="B229" s="2"/>
      <c r="D229" s="2"/>
      <c r="E229" s="2"/>
      <c r="G229" s="2"/>
      <c r="H229" s="2"/>
      <c r="M229" t="e">
        <f t="shared" si="16"/>
        <v>#DIV/0!</v>
      </c>
      <c r="N229" t="e">
        <f t="shared" si="17"/>
        <v>#DIV/0!</v>
      </c>
    </row>
    <row r="230" spans="1:14" x14ac:dyDescent="0.25">
      <c r="B230" s="2"/>
      <c r="D230" s="2"/>
      <c r="E230" s="2"/>
      <c r="G230" s="2"/>
      <c r="H230" s="2"/>
      <c r="I230">
        <f t="shared" ref="I230:I261" si="18">H230-G230^2*C230/1000</f>
        <v>0</v>
      </c>
      <c r="M230" t="e">
        <f t="shared" si="16"/>
        <v>#DIV/0!</v>
      </c>
      <c r="N230" t="e">
        <f t="shared" si="17"/>
        <v>#DIV/0!</v>
      </c>
    </row>
    <row r="231" spans="1:14" s="1" customFormat="1" x14ac:dyDescent="0.25">
      <c r="A231" s="1">
        <v>1303.5</v>
      </c>
      <c r="B231" s="13" t="s">
        <v>33</v>
      </c>
      <c r="C231" s="1">
        <v>195</v>
      </c>
      <c r="D231" s="13" t="s">
        <v>17</v>
      </c>
      <c r="E231" s="13" t="s">
        <v>34</v>
      </c>
      <c r="F231" s="1">
        <v>63.5</v>
      </c>
      <c r="G231" s="1">
        <v>0.86</v>
      </c>
      <c r="H231" s="1">
        <v>6.36</v>
      </c>
      <c r="I231" s="1">
        <f t="shared" si="18"/>
        <v>6.2157780000000002</v>
      </c>
      <c r="J231" s="1">
        <v>63</v>
      </c>
      <c r="M231" s="1">
        <f t="shared" si="16"/>
        <v>0.18157320957412348</v>
      </c>
      <c r="N231" s="1">
        <f t="shared" si="17"/>
        <v>0.16088090662182594</v>
      </c>
    </row>
    <row r="232" spans="1:14" x14ac:dyDescent="0.25">
      <c r="A232" t="s">
        <v>35</v>
      </c>
      <c r="B232" s="13"/>
      <c r="C232">
        <v>195</v>
      </c>
      <c r="D232" s="13"/>
      <c r="E232" s="13"/>
      <c r="F232">
        <v>63.5</v>
      </c>
      <c r="G232">
        <v>5.0999999999999996</v>
      </c>
      <c r="H232">
        <v>37.74</v>
      </c>
      <c r="I232">
        <f t="shared" si="18"/>
        <v>32.668050000000001</v>
      </c>
      <c r="J232">
        <v>169</v>
      </c>
      <c r="M232">
        <f t="shared" si="16"/>
        <v>4.1326872247088836E-2</v>
      </c>
      <c r="N232">
        <f t="shared" si="17"/>
        <v>3.0610948617992198E-2</v>
      </c>
    </row>
    <row r="233" spans="1:14" x14ac:dyDescent="0.25">
      <c r="B233" s="13"/>
      <c r="C233">
        <v>195</v>
      </c>
      <c r="D233" s="13" t="s">
        <v>22</v>
      </c>
      <c r="E233" s="13"/>
      <c r="F233">
        <v>63.5</v>
      </c>
      <c r="G233">
        <v>1.1000000000000001</v>
      </c>
      <c r="H233">
        <v>12.21</v>
      </c>
      <c r="I233">
        <f t="shared" si="18"/>
        <v>11.97405</v>
      </c>
      <c r="J233">
        <v>79</v>
      </c>
      <c r="M233">
        <f t="shared" si="16"/>
        <v>0.12930697670183336</v>
      </c>
      <c r="N233">
        <f t="shared" si="17"/>
        <v>8.3513932211741221E-2</v>
      </c>
    </row>
    <row r="234" spans="1:14" x14ac:dyDescent="0.25">
      <c r="B234" s="13"/>
      <c r="C234">
        <v>195</v>
      </c>
      <c r="D234" s="13"/>
      <c r="E234" s="13"/>
      <c r="F234">
        <v>63.5</v>
      </c>
      <c r="G234">
        <v>6.2</v>
      </c>
      <c r="H234">
        <v>68.819999999999993</v>
      </c>
      <c r="I234">
        <f t="shared" si="18"/>
        <v>61.32419999999999</v>
      </c>
      <c r="J234">
        <v>256</v>
      </c>
      <c r="M234">
        <f t="shared" si="16"/>
        <v>2.2166781818079635E-2</v>
      </c>
      <c r="N234">
        <f t="shared" si="17"/>
        <v>1.6306776117747973E-2</v>
      </c>
    </row>
    <row r="235" spans="1:14" x14ac:dyDescent="0.25">
      <c r="B235" s="13"/>
      <c r="C235">
        <v>195</v>
      </c>
      <c r="D235" s="13" t="s">
        <v>22</v>
      </c>
      <c r="E235" s="13" t="s">
        <v>30</v>
      </c>
      <c r="F235">
        <v>76.5</v>
      </c>
      <c r="G235">
        <v>1.4</v>
      </c>
      <c r="H235">
        <v>15.54</v>
      </c>
      <c r="I235">
        <f t="shared" si="18"/>
        <v>15.1578</v>
      </c>
      <c r="J235">
        <v>117</v>
      </c>
      <c r="M235">
        <f t="shared" si="16"/>
        <v>8.6431392871537269E-2</v>
      </c>
      <c r="N235">
        <f t="shared" si="17"/>
        <v>6.5972634551188167E-2</v>
      </c>
    </row>
    <row r="236" spans="1:14" x14ac:dyDescent="0.25">
      <c r="B236" s="13"/>
      <c r="C236">
        <v>195</v>
      </c>
      <c r="D236" s="13"/>
      <c r="E236" s="13"/>
      <c r="F236">
        <v>76.5</v>
      </c>
      <c r="G236">
        <v>6.7</v>
      </c>
      <c r="H236">
        <v>74.37</v>
      </c>
      <c r="I236">
        <f t="shared" si="18"/>
        <v>65.61645</v>
      </c>
      <c r="J236">
        <v>276</v>
      </c>
      <c r="M236">
        <f t="shared" si="16"/>
        <v>2.3855398808603927E-2</v>
      </c>
      <c r="N236">
        <f t="shared" si="17"/>
        <v>1.5240080802908416E-2</v>
      </c>
    </row>
    <row r="237" spans="1:14" x14ac:dyDescent="0.25">
      <c r="B237" s="13"/>
      <c r="C237">
        <v>195</v>
      </c>
      <c r="D237" s="13" t="s">
        <v>25</v>
      </c>
      <c r="E237" s="13"/>
      <c r="F237">
        <v>76.5</v>
      </c>
      <c r="G237">
        <v>2.2000000000000002</v>
      </c>
      <c r="H237">
        <v>32.56</v>
      </c>
      <c r="I237">
        <f t="shared" si="18"/>
        <v>31.616200000000003</v>
      </c>
      <c r="J237">
        <v>178</v>
      </c>
      <c r="M237">
        <f t="shared" si="16"/>
        <v>4.6059614737499789E-2</v>
      </c>
      <c r="N237">
        <f t="shared" si="17"/>
        <v>3.1629354571390614E-2</v>
      </c>
    </row>
    <row r="238" spans="1:14" x14ac:dyDescent="0.25">
      <c r="B238" s="13"/>
      <c r="C238">
        <v>195</v>
      </c>
      <c r="D238" s="13"/>
      <c r="E238" s="13"/>
      <c r="F238">
        <v>76.5</v>
      </c>
      <c r="G238">
        <v>8.9</v>
      </c>
      <c r="H238">
        <v>131.72</v>
      </c>
      <c r="I238">
        <f t="shared" si="18"/>
        <v>116.27405</v>
      </c>
      <c r="J238">
        <v>370</v>
      </c>
      <c r="M238">
        <f t="shared" si="16"/>
        <v>1.5369074591338655E-2</v>
      </c>
      <c r="N238">
        <f t="shared" si="17"/>
        <v>8.6003712780280718E-3</v>
      </c>
    </row>
    <row r="239" spans="1:14" x14ac:dyDescent="0.25">
      <c r="B239" s="13"/>
      <c r="C239">
        <v>195</v>
      </c>
      <c r="D239" s="13" t="s">
        <v>22</v>
      </c>
      <c r="E239" s="13" t="s">
        <v>36</v>
      </c>
      <c r="F239">
        <v>76.2</v>
      </c>
      <c r="G239">
        <v>1.8</v>
      </c>
      <c r="H239">
        <v>19.98</v>
      </c>
      <c r="I239">
        <f t="shared" si="18"/>
        <v>19.348200000000002</v>
      </c>
      <c r="J239">
        <v>126</v>
      </c>
      <c r="M239">
        <f t="shared" si="16"/>
        <v>7.7034988663001305E-2</v>
      </c>
      <c r="N239">
        <f t="shared" si="17"/>
        <v>5.1684394413950646E-2</v>
      </c>
    </row>
    <row r="240" spans="1:14" x14ac:dyDescent="0.25">
      <c r="B240" s="13"/>
      <c r="C240">
        <v>195</v>
      </c>
      <c r="D240" s="13"/>
      <c r="E240" s="13"/>
      <c r="F240">
        <v>76.2</v>
      </c>
      <c r="G240">
        <v>5.9</v>
      </c>
      <c r="H240">
        <v>65.489999999999995</v>
      </c>
      <c r="I240">
        <f t="shared" si="18"/>
        <v>58.702049999999993</v>
      </c>
      <c r="J240">
        <v>256</v>
      </c>
      <c r="M240">
        <f t="shared" si="16"/>
        <v>2.6600138181695564E-2</v>
      </c>
      <c r="N240">
        <f t="shared" si="17"/>
        <v>1.703518020239498E-2</v>
      </c>
    </row>
    <row r="241" spans="2:14" x14ac:dyDescent="0.25">
      <c r="B241" s="13"/>
      <c r="C241">
        <v>195</v>
      </c>
      <c r="D241" s="13" t="s">
        <v>25</v>
      </c>
      <c r="E241" s="13"/>
      <c r="F241">
        <v>76.2</v>
      </c>
      <c r="G241">
        <v>2.1</v>
      </c>
      <c r="H241">
        <v>31.08</v>
      </c>
      <c r="I241">
        <f t="shared" si="18"/>
        <v>30.220049999999997</v>
      </c>
      <c r="J241">
        <v>136</v>
      </c>
      <c r="M241">
        <f t="shared" si="16"/>
        <v>6.8696637180325898E-2</v>
      </c>
      <c r="N241">
        <f t="shared" si="17"/>
        <v>3.3090613681976043E-2</v>
      </c>
    </row>
    <row r="242" spans="2:14" x14ac:dyDescent="0.25">
      <c r="B242" s="13"/>
      <c r="C242">
        <v>195</v>
      </c>
      <c r="D242" s="13"/>
      <c r="E242" s="13"/>
      <c r="F242">
        <v>76.2</v>
      </c>
      <c r="G242">
        <v>8.4</v>
      </c>
      <c r="H242">
        <v>124.32</v>
      </c>
      <c r="I242">
        <f t="shared" si="18"/>
        <v>110.5608</v>
      </c>
      <c r="J242">
        <v>352</v>
      </c>
      <c r="M242">
        <f t="shared" si="16"/>
        <v>1.649794477235118E-2</v>
      </c>
      <c r="N242">
        <f t="shared" si="17"/>
        <v>9.044797070932916E-3</v>
      </c>
    </row>
    <row r="243" spans="2:14" x14ac:dyDescent="0.25">
      <c r="B243" s="13" t="s">
        <v>37</v>
      </c>
      <c r="C243">
        <v>365</v>
      </c>
      <c r="D243" s="13" t="s">
        <v>25</v>
      </c>
      <c r="E243" s="13" t="s">
        <v>34</v>
      </c>
      <c r="F243">
        <v>63.5</v>
      </c>
      <c r="G243">
        <v>0.55000000000000004</v>
      </c>
      <c r="H243">
        <v>8.14</v>
      </c>
      <c r="I243">
        <f t="shared" si="18"/>
        <v>8.0295874999999999</v>
      </c>
      <c r="J243">
        <v>91</v>
      </c>
      <c r="M243">
        <f t="shared" si="16"/>
        <v>0.1045924909407806</v>
      </c>
      <c r="N243">
        <f t="shared" si="17"/>
        <v>0.12453939881718706</v>
      </c>
    </row>
    <row r="244" spans="2:14" x14ac:dyDescent="0.25">
      <c r="B244" s="13"/>
      <c r="C244">
        <v>365</v>
      </c>
      <c r="D244" s="13"/>
      <c r="E244" s="13"/>
      <c r="F244">
        <v>63.5</v>
      </c>
      <c r="G244">
        <v>3.2</v>
      </c>
      <c r="H244">
        <v>47.36</v>
      </c>
      <c r="I244">
        <f t="shared" si="18"/>
        <v>43.622399999999999</v>
      </c>
      <c r="J244">
        <v>236</v>
      </c>
      <c r="M244">
        <f t="shared" si="16"/>
        <v>2.5043474960013582E-2</v>
      </c>
      <c r="N244">
        <f t="shared" si="17"/>
        <v>2.292400234741784E-2</v>
      </c>
    </row>
    <row r="245" spans="2:14" x14ac:dyDescent="0.25">
      <c r="B245" s="13"/>
      <c r="C245">
        <v>365</v>
      </c>
      <c r="D245" s="13" t="s">
        <v>38</v>
      </c>
      <c r="E245" s="13"/>
      <c r="F245">
        <v>63.5</v>
      </c>
      <c r="G245">
        <v>0.85</v>
      </c>
      <c r="H245">
        <v>18.87</v>
      </c>
      <c r="I245">
        <f t="shared" si="18"/>
        <v>18.606287500000001</v>
      </c>
      <c r="J245">
        <v>119</v>
      </c>
      <c r="M245">
        <f t="shared" si="16"/>
        <v>6.994266121150905E-2</v>
      </c>
      <c r="N245">
        <f t="shared" si="17"/>
        <v>5.3745272935291362E-2</v>
      </c>
    </row>
    <row r="246" spans="2:14" x14ac:dyDescent="0.25">
      <c r="B246" s="13"/>
      <c r="C246">
        <v>365</v>
      </c>
      <c r="D246" s="13"/>
      <c r="E246" s="13"/>
      <c r="F246">
        <v>63.5</v>
      </c>
      <c r="G246">
        <v>3.76</v>
      </c>
      <c r="H246">
        <v>83.47</v>
      </c>
      <c r="I246">
        <f t="shared" si="18"/>
        <v>78.309775999999999</v>
      </c>
      <c r="J246">
        <v>336</v>
      </c>
      <c r="M246">
        <f t="shared" si="16"/>
        <v>1.4741907387925012E-2</v>
      </c>
      <c r="N246">
        <f t="shared" si="17"/>
        <v>1.276979773253342E-2</v>
      </c>
    </row>
    <row r="247" spans="2:14" x14ac:dyDescent="0.25">
      <c r="B247" s="13"/>
      <c r="C247">
        <v>365</v>
      </c>
      <c r="D247" s="13" t="s">
        <v>25</v>
      </c>
      <c r="E247" s="13" t="s">
        <v>30</v>
      </c>
      <c r="F247">
        <v>76.5</v>
      </c>
      <c r="G247">
        <v>1.23</v>
      </c>
      <c r="H247">
        <v>18.2</v>
      </c>
      <c r="I247">
        <f t="shared" si="18"/>
        <v>17.6477915</v>
      </c>
      <c r="J247">
        <v>107</v>
      </c>
      <c r="M247">
        <f t="shared" si="16"/>
        <v>9.8826778328231044E-2</v>
      </c>
      <c r="N247">
        <f t="shared" si="17"/>
        <v>5.6664314058787468E-2</v>
      </c>
    </row>
    <row r="248" spans="2:14" x14ac:dyDescent="0.25">
      <c r="B248" s="13"/>
      <c r="C248">
        <v>365</v>
      </c>
      <c r="D248" s="13"/>
      <c r="E248" s="13"/>
      <c r="F248">
        <v>76.5</v>
      </c>
      <c r="G248">
        <v>4.5999999999999996</v>
      </c>
      <c r="H248">
        <v>68.08</v>
      </c>
      <c r="I248">
        <f t="shared" si="18"/>
        <v>60.3566</v>
      </c>
      <c r="J248">
        <v>272</v>
      </c>
      <c r="M248">
        <f t="shared" si="16"/>
        <v>2.4383550765166705E-2</v>
      </c>
      <c r="N248">
        <f t="shared" si="17"/>
        <v>1.6568196353008619E-2</v>
      </c>
    </row>
    <row r="249" spans="2:14" x14ac:dyDescent="0.25">
      <c r="B249" s="13"/>
      <c r="C249">
        <v>365</v>
      </c>
      <c r="D249" s="13" t="s">
        <v>38</v>
      </c>
      <c r="E249" s="13"/>
      <c r="F249">
        <v>76.5</v>
      </c>
      <c r="G249">
        <v>1.4</v>
      </c>
      <c r="H249">
        <v>31.08</v>
      </c>
      <c r="I249">
        <f t="shared" si="18"/>
        <v>30.364599999999999</v>
      </c>
      <c r="J249">
        <v>158</v>
      </c>
      <c r="M249">
        <f t="shared" si="16"/>
        <v>5.5076289497367641E-2</v>
      </c>
      <c r="N249">
        <f t="shared" si="17"/>
        <v>3.2933086554738082E-2</v>
      </c>
    </row>
    <row r="250" spans="2:14" x14ac:dyDescent="0.25">
      <c r="B250" s="13"/>
      <c r="C250">
        <v>365</v>
      </c>
      <c r="D250" s="13"/>
      <c r="E250" s="13"/>
      <c r="F250">
        <v>76.5</v>
      </c>
      <c r="G250">
        <v>6.5</v>
      </c>
      <c r="H250">
        <v>144.30000000000001</v>
      </c>
      <c r="I250">
        <f t="shared" si="18"/>
        <v>128.87875000000003</v>
      </c>
      <c r="J250">
        <v>416</v>
      </c>
      <c r="M250">
        <f t="shared" si="16"/>
        <v>1.2891703501447587E-2</v>
      </c>
      <c r="N250">
        <f t="shared" si="17"/>
        <v>7.7592310602019321E-3</v>
      </c>
    </row>
    <row r="251" spans="2:14" x14ac:dyDescent="0.25">
      <c r="B251" s="13"/>
      <c r="C251">
        <v>365</v>
      </c>
      <c r="D251" s="13" t="s">
        <v>25</v>
      </c>
      <c r="E251" s="13" t="s">
        <v>39</v>
      </c>
      <c r="F251">
        <v>76.2</v>
      </c>
      <c r="G251">
        <v>0.9</v>
      </c>
      <c r="H251">
        <v>13.32</v>
      </c>
      <c r="I251">
        <f t="shared" si="18"/>
        <v>13.02435</v>
      </c>
      <c r="J251">
        <v>108</v>
      </c>
      <c r="M251">
        <f t="shared" si="16"/>
        <v>9.707518065577514E-2</v>
      </c>
      <c r="N251">
        <f t="shared" si="17"/>
        <v>7.6779263456525665E-2</v>
      </c>
    </row>
    <row r="252" spans="2:14" x14ac:dyDescent="0.25">
      <c r="B252" s="13"/>
      <c r="C252">
        <v>365</v>
      </c>
      <c r="D252" s="13"/>
      <c r="E252" s="13"/>
      <c r="F252">
        <v>76.2</v>
      </c>
      <c r="G252">
        <v>4.7</v>
      </c>
      <c r="H252">
        <v>69.56</v>
      </c>
      <c r="I252">
        <f t="shared" si="18"/>
        <v>61.497150000000005</v>
      </c>
      <c r="J252">
        <v>281</v>
      </c>
      <c r="M252">
        <f t="shared" si="16"/>
        <v>2.3130464849440362E-2</v>
      </c>
      <c r="N252">
        <f t="shared" si="17"/>
        <v>1.6260916156277158E-2</v>
      </c>
    </row>
    <row r="253" spans="2:14" x14ac:dyDescent="0.25">
      <c r="B253" s="13"/>
      <c r="C253">
        <v>365</v>
      </c>
      <c r="D253" s="13" t="s">
        <v>38</v>
      </c>
      <c r="E253" s="13"/>
      <c r="F253">
        <v>76.2</v>
      </c>
      <c r="G253">
        <v>1.6</v>
      </c>
      <c r="H253">
        <v>35.520000000000003</v>
      </c>
      <c r="I253">
        <f t="shared" si="18"/>
        <v>34.585599999999999</v>
      </c>
      <c r="J253">
        <v>173</v>
      </c>
      <c r="M253">
        <f t="shared" si="16"/>
        <v>4.7882265010156778E-2</v>
      </c>
      <c r="N253">
        <f t="shared" si="17"/>
        <v>2.891376757957069E-2</v>
      </c>
    </row>
    <row r="254" spans="2:14" x14ac:dyDescent="0.25">
      <c r="B254" s="13"/>
      <c r="C254">
        <v>365</v>
      </c>
      <c r="D254" s="13"/>
      <c r="E254" s="13"/>
      <c r="F254">
        <v>76.2</v>
      </c>
      <c r="G254">
        <v>6.3</v>
      </c>
      <c r="H254">
        <v>139.86000000000001</v>
      </c>
      <c r="I254">
        <f t="shared" si="18"/>
        <v>125.37315000000001</v>
      </c>
      <c r="J254">
        <v>397</v>
      </c>
      <c r="M254">
        <f t="shared" si="16"/>
        <v>1.3773936627911119E-2</v>
      </c>
      <c r="N254">
        <f t="shared" si="17"/>
        <v>7.9761894791667912E-3</v>
      </c>
    </row>
    <row r="255" spans="2:14" x14ac:dyDescent="0.25">
      <c r="B255" s="13" t="s">
        <v>40</v>
      </c>
      <c r="C255">
        <v>780</v>
      </c>
      <c r="D255" s="13" t="s">
        <v>41</v>
      </c>
      <c r="E255" s="13" t="s">
        <v>34</v>
      </c>
      <c r="F255">
        <v>63.5</v>
      </c>
      <c r="G255">
        <v>0.52</v>
      </c>
      <c r="H255">
        <v>9.6199999999999992</v>
      </c>
      <c r="I255">
        <f t="shared" si="18"/>
        <v>9.4090879999999988</v>
      </c>
      <c r="J255">
        <v>76</v>
      </c>
      <c r="M255">
        <f t="shared" si="16"/>
        <v>0.13703837691535806</v>
      </c>
      <c r="N255">
        <f t="shared" si="17"/>
        <v>0.10628022609630181</v>
      </c>
    </row>
    <row r="256" spans="2:14" x14ac:dyDescent="0.25">
      <c r="B256" s="13"/>
      <c r="C256">
        <v>780</v>
      </c>
      <c r="D256" s="13"/>
      <c r="E256" s="13"/>
      <c r="F256">
        <v>63.5</v>
      </c>
      <c r="G256">
        <v>2.6</v>
      </c>
      <c r="H256">
        <v>48.1</v>
      </c>
      <c r="I256">
        <f t="shared" si="18"/>
        <v>42.827200000000005</v>
      </c>
      <c r="J256">
        <v>188</v>
      </c>
      <c r="M256">
        <f t="shared" si="16"/>
        <v>3.5222957659831786E-2</v>
      </c>
      <c r="N256">
        <f t="shared" si="17"/>
        <v>2.3349646953338063E-2</v>
      </c>
    </row>
    <row r="257" spans="1:14" x14ac:dyDescent="0.25">
      <c r="B257" s="13"/>
      <c r="C257">
        <v>780</v>
      </c>
      <c r="D257" s="13" t="s">
        <v>38</v>
      </c>
      <c r="E257" s="13"/>
      <c r="F257">
        <v>63.5</v>
      </c>
      <c r="G257">
        <v>0.6</v>
      </c>
      <c r="H257">
        <v>13.32</v>
      </c>
      <c r="I257">
        <f t="shared" si="18"/>
        <v>13.039200000000001</v>
      </c>
      <c r="J257">
        <v>85</v>
      </c>
      <c r="M257">
        <f t="shared" si="16"/>
        <v>0.11586018191148645</v>
      </c>
      <c r="N257">
        <f t="shared" si="17"/>
        <v>7.6691821584146266E-2</v>
      </c>
    </row>
    <row r="258" spans="1:14" x14ac:dyDescent="0.25">
      <c r="B258" s="13"/>
      <c r="C258">
        <v>780</v>
      </c>
      <c r="D258" s="13"/>
      <c r="E258" s="13"/>
      <c r="F258">
        <v>63.5</v>
      </c>
      <c r="G258">
        <v>3.2</v>
      </c>
      <c r="H258">
        <v>71.040000000000006</v>
      </c>
      <c r="I258">
        <f t="shared" si="18"/>
        <v>63.052800000000005</v>
      </c>
      <c r="J258">
        <v>236</v>
      </c>
      <c r="M258">
        <f t="shared" si="16"/>
        <v>2.5043474960013582E-2</v>
      </c>
      <c r="N258">
        <f t="shared" si="17"/>
        <v>1.5859723913926104E-2</v>
      </c>
    </row>
    <row r="259" spans="1:14" x14ac:dyDescent="0.25">
      <c r="B259" s="13"/>
      <c r="C259">
        <v>780</v>
      </c>
      <c r="D259" s="13" t="s">
        <v>41</v>
      </c>
      <c r="E259" s="13" t="s">
        <v>30</v>
      </c>
      <c r="F259">
        <v>76.5</v>
      </c>
      <c r="G259">
        <v>0.8</v>
      </c>
      <c r="H259">
        <v>14.8</v>
      </c>
      <c r="I259">
        <f t="shared" si="18"/>
        <v>14.300800000000001</v>
      </c>
      <c r="J259">
        <v>119</v>
      </c>
      <c r="M259">
        <f t="shared" si="16"/>
        <v>8.4261631223314051E-2</v>
      </c>
      <c r="N259">
        <f t="shared" si="17"/>
        <v>6.9926157977176093E-2</v>
      </c>
    </row>
    <row r="260" spans="1:14" x14ac:dyDescent="0.25">
      <c r="B260" s="13"/>
      <c r="C260">
        <v>780</v>
      </c>
      <c r="D260" s="13"/>
      <c r="E260" s="13"/>
      <c r="F260">
        <v>76.5</v>
      </c>
      <c r="G260">
        <v>4.2</v>
      </c>
      <c r="H260">
        <v>77.7</v>
      </c>
      <c r="I260">
        <f t="shared" si="18"/>
        <v>63.940800000000003</v>
      </c>
      <c r="J260">
        <v>312</v>
      </c>
      <c r="M260">
        <f t="shared" si="16"/>
        <v>1.9848075964996277E-2</v>
      </c>
      <c r="N260">
        <f t="shared" si="17"/>
        <v>1.563946650651853E-2</v>
      </c>
    </row>
    <row r="261" spans="1:14" x14ac:dyDescent="0.25">
      <c r="B261" s="13"/>
      <c r="C261">
        <v>780</v>
      </c>
      <c r="D261" s="13" t="s">
        <v>38</v>
      </c>
      <c r="E261" s="13"/>
      <c r="F261">
        <v>76.5</v>
      </c>
      <c r="G261">
        <v>1.1000000000000001</v>
      </c>
      <c r="H261">
        <v>24.42</v>
      </c>
      <c r="I261">
        <f t="shared" si="18"/>
        <v>23.476200000000002</v>
      </c>
      <c r="J261">
        <v>163</v>
      </c>
      <c r="M261">
        <f t="shared" si="16"/>
        <v>5.2561638848845113E-2</v>
      </c>
      <c r="N261">
        <f t="shared" si="17"/>
        <v>4.2596331603922268E-2</v>
      </c>
    </row>
    <row r="262" spans="1:14" x14ac:dyDescent="0.25">
      <c r="B262" s="13"/>
      <c r="C262">
        <v>780</v>
      </c>
      <c r="D262" s="13"/>
      <c r="E262" s="13"/>
      <c r="F262">
        <v>76.5</v>
      </c>
      <c r="G262">
        <v>4.3</v>
      </c>
      <c r="H262">
        <v>95.46</v>
      </c>
      <c r="I262">
        <f t="shared" ref="I262:I293" si="19">H262-G262^2*C262/1000</f>
        <v>81.03779999999999</v>
      </c>
      <c r="J262">
        <v>355</v>
      </c>
      <c r="M262">
        <f t="shared" si="16"/>
        <v>1.6353389279141019E-2</v>
      </c>
      <c r="N262">
        <f t="shared" si="17"/>
        <v>1.2339920382833691E-2</v>
      </c>
    </row>
    <row r="263" spans="1:14" x14ac:dyDescent="0.25">
      <c r="B263" s="13"/>
      <c r="C263">
        <v>780</v>
      </c>
      <c r="D263" s="13" t="s">
        <v>41</v>
      </c>
      <c r="E263" s="13" t="s">
        <v>39</v>
      </c>
      <c r="F263">
        <v>76.2</v>
      </c>
      <c r="G263">
        <v>0.8</v>
      </c>
      <c r="H263">
        <v>14.8</v>
      </c>
      <c r="I263">
        <f t="shared" si="19"/>
        <v>14.300800000000001</v>
      </c>
      <c r="J263">
        <v>88</v>
      </c>
      <c r="M263">
        <f t="shared" si="16"/>
        <v>0.13198355817880944</v>
      </c>
      <c r="N263">
        <f t="shared" si="17"/>
        <v>6.9926157977176093E-2</v>
      </c>
    </row>
    <row r="264" spans="1:14" x14ac:dyDescent="0.25">
      <c r="B264" s="13"/>
      <c r="C264">
        <v>780</v>
      </c>
      <c r="D264" s="13"/>
      <c r="E264" s="13"/>
      <c r="F264">
        <v>76.2</v>
      </c>
      <c r="G264">
        <v>4.0999999999999996</v>
      </c>
      <c r="H264">
        <v>75.849999999999994</v>
      </c>
      <c r="I264">
        <f t="shared" si="19"/>
        <v>62.738199999999992</v>
      </c>
      <c r="J264">
        <v>223</v>
      </c>
      <c r="M264">
        <f t="shared" si="16"/>
        <v>3.2717984783906473E-2</v>
      </c>
      <c r="N264">
        <f t="shared" si="17"/>
        <v>1.5939252321552102E-2</v>
      </c>
    </row>
    <row r="265" spans="1:14" x14ac:dyDescent="0.25">
      <c r="B265" s="13"/>
      <c r="C265">
        <v>780</v>
      </c>
      <c r="D265" s="13" t="s">
        <v>38</v>
      </c>
      <c r="E265" s="13"/>
      <c r="F265">
        <v>76.2</v>
      </c>
      <c r="G265">
        <v>1</v>
      </c>
      <c r="H265">
        <v>22.2</v>
      </c>
      <c r="I265">
        <f t="shared" si="19"/>
        <v>21.419999999999998</v>
      </c>
      <c r="J265">
        <v>121</v>
      </c>
      <c r="M265">
        <f t="shared" si="16"/>
        <v>8.1858877529846011E-2</v>
      </c>
      <c r="N265">
        <f t="shared" si="17"/>
        <v>4.6685340802987862E-2</v>
      </c>
    </row>
    <row r="266" spans="1:14" x14ac:dyDescent="0.25">
      <c r="B266" s="13"/>
      <c r="C266">
        <v>780</v>
      </c>
      <c r="D266" s="13"/>
      <c r="E266" s="13"/>
      <c r="F266">
        <v>76.2</v>
      </c>
      <c r="G266">
        <v>4.4000000000000004</v>
      </c>
      <c r="H266">
        <v>97.68</v>
      </c>
      <c r="I266">
        <f t="shared" si="19"/>
        <v>82.5792</v>
      </c>
      <c r="J266">
        <v>278</v>
      </c>
      <c r="M266">
        <f t="shared" si="16"/>
        <v>2.3505887149080751E-2</v>
      </c>
      <c r="N266">
        <f t="shared" si="17"/>
        <v>1.2109586917771061E-2</v>
      </c>
    </row>
    <row r="267" spans="1:14" x14ac:dyDescent="0.25">
      <c r="A267">
        <v>1303.5</v>
      </c>
      <c r="B267" s="13" t="s">
        <v>42</v>
      </c>
      <c r="C267">
        <v>140</v>
      </c>
      <c r="D267" s="13" t="s">
        <v>17</v>
      </c>
      <c r="E267" s="13" t="s">
        <v>34</v>
      </c>
      <c r="F267">
        <v>63.5</v>
      </c>
      <c r="G267">
        <v>0.7</v>
      </c>
      <c r="H267">
        <v>5.2</v>
      </c>
      <c r="I267">
        <f t="shared" si="19"/>
        <v>5.1314000000000002</v>
      </c>
      <c r="J267">
        <v>57</v>
      </c>
      <c r="M267">
        <f t="shared" si="16"/>
        <v>0.21098438347037693</v>
      </c>
      <c r="N267">
        <f t="shared" si="17"/>
        <v>0.19487859063803251</v>
      </c>
    </row>
    <row r="268" spans="1:14" x14ac:dyDescent="0.25">
      <c r="A268" t="s">
        <v>43</v>
      </c>
      <c r="B268" s="13"/>
      <c r="C268">
        <v>140</v>
      </c>
      <c r="D268" s="13"/>
      <c r="E268" s="13"/>
      <c r="F268">
        <v>63.5</v>
      </c>
      <c r="G268">
        <v>3.5</v>
      </c>
      <c r="H268">
        <v>25.9</v>
      </c>
      <c r="I268">
        <f t="shared" si="19"/>
        <v>24.184999999999999</v>
      </c>
      <c r="J268">
        <v>141</v>
      </c>
      <c r="M268">
        <f t="shared" si="16"/>
        <v>5.422929089748979E-2</v>
      </c>
      <c r="N268">
        <f t="shared" si="17"/>
        <v>4.1347942939838747E-2</v>
      </c>
    </row>
    <row r="269" spans="1:14" x14ac:dyDescent="0.25">
      <c r="A269" t="s">
        <v>44</v>
      </c>
      <c r="B269" s="13"/>
      <c r="C269">
        <v>140</v>
      </c>
      <c r="D269" s="13" t="s">
        <v>22</v>
      </c>
      <c r="E269" s="13"/>
      <c r="F269">
        <v>63.5</v>
      </c>
      <c r="G269">
        <v>0.95</v>
      </c>
      <c r="H269">
        <v>7</v>
      </c>
      <c r="I269">
        <f t="shared" si="19"/>
        <v>6.8736499999999996</v>
      </c>
      <c r="J269">
        <v>71</v>
      </c>
      <c r="M269">
        <f t="shared" si="16"/>
        <v>0.15176620397110466</v>
      </c>
      <c r="N269">
        <f t="shared" si="17"/>
        <v>0.14548311304765299</v>
      </c>
    </row>
    <row r="270" spans="1:14" x14ac:dyDescent="0.25">
      <c r="B270" s="13"/>
      <c r="C270">
        <v>140</v>
      </c>
      <c r="D270" s="13"/>
      <c r="E270" s="13"/>
      <c r="F270">
        <v>63.5</v>
      </c>
      <c r="G270">
        <v>5.5</v>
      </c>
      <c r="H270">
        <v>40.700000000000003</v>
      </c>
      <c r="I270">
        <f t="shared" si="19"/>
        <v>36.465000000000003</v>
      </c>
      <c r="J270">
        <v>199</v>
      </c>
      <c r="M270">
        <f t="shared" si="16"/>
        <v>3.2343199530672842E-2</v>
      </c>
      <c r="N270">
        <f t="shared" si="17"/>
        <v>2.7423556835321539E-2</v>
      </c>
    </row>
    <row r="271" spans="1:14" x14ac:dyDescent="0.25">
      <c r="B271" s="13"/>
      <c r="C271">
        <v>140</v>
      </c>
      <c r="D271" s="13" t="s">
        <v>22</v>
      </c>
      <c r="E271" s="13" t="s">
        <v>45</v>
      </c>
      <c r="F271">
        <v>76.5</v>
      </c>
      <c r="G271">
        <v>1.35</v>
      </c>
      <c r="H271">
        <v>15</v>
      </c>
      <c r="I271">
        <f t="shared" si="19"/>
        <v>14.74485</v>
      </c>
      <c r="J271">
        <v>91</v>
      </c>
      <c r="M271">
        <f t="shared" si="16"/>
        <v>0.12600512688141283</v>
      </c>
      <c r="N271">
        <f t="shared" si="17"/>
        <v>6.7820289796098304E-2</v>
      </c>
    </row>
    <row r="272" spans="1:14" x14ac:dyDescent="0.25">
      <c r="B272" s="13"/>
      <c r="C272">
        <v>140</v>
      </c>
      <c r="D272" s="13"/>
      <c r="E272" s="13"/>
      <c r="F272">
        <v>76.5</v>
      </c>
      <c r="G272">
        <v>4.8499999999999996</v>
      </c>
      <c r="H272">
        <v>53.8</v>
      </c>
      <c r="I272">
        <f t="shared" si="19"/>
        <v>50.50685</v>
      </c>
      <c r="J272">
        <v>216</v>
      </c>
      <c r="M272">
        <f t="shared" si="16"/>
        <v>3.4456382331269637E-2</v>
      </c>
      <c r="N272">
        <f t="shared" si="17"/>
        <v>1.9799294551135143E-2</v>
      </c>
    </row>
    <row r="273" spans="2:14" x14ac:dyDescent="0.25">
      <c r="B273" s="13"/>
      <c r="C273">
        <v>140</v>
      </c>
      <c r="D273" s="13" t="s">
        <v>25</v>
      </c>
      <c r="E273" s="13"/>
      <c r="F273">
        <v>76.5</v>
      </c>
      <c r="G273">
        <v>1.8</v>
      </c>
      <c r="H273">
        <v>26.6</v>
      </c>
      <c r="I273">
        <f t="shared" si="19"/>
        <v>26.1464</v>
      </c>
      <c r="J273">
        <v>128</v>
      </c>
      <c r="M273">
        <f t="shared" si="16"/>
        <v>7.5532759254140366E-2</v>
      </c>
      <c r="N273">
        <f t="shared" si="17"/>
        <v>3.8246183030933516E-2</v>
      </c>
    </row>
    <row r="274" spans="2:14" x14ac:dyDescent="0.25">
      <c r="B274" s="13"/>
      <c r="C274">
        <v>140</v>
      </c>
      <c r="D274" s="13"/>
      <c r="E274" s="13"/>
      <c r="F274">
        <v>76.5</v>
      </c>
      <c r="G274">
        <v>7.1</v>
      </c>
      <c r="H274">
        <v>105.1</v>
      </c>
      <c r="I274">
        <f t="shared" si="19"/>
        <v>98.042599999999993</v>
      </c>
      <c r="J274">
        <v>296</v>
      </c>
      <c r="M274">
        <f t="shared" si="16"/>
        <v>2.147893471093627E-2</v>
      </c>
      <c r="N274">
        <f t="shared" si="17"/>
        <v>1.0199647908154211E-2</v>
      </c>
    </row>
    <row r="275" spans="2:14" x14ac:dyDescent="0.25">
      <c r="B275" s="13"/>
      <c r="C275">
        <v>140</v>
      </c>
      <c r="D275" s="13" t="s">
        <v>22</v>
      </c>
      <c r="E275" s="13" t="s">
        <v>30</v>
      </c>
      <c r="F275">
        <v>76.5</v>
      </c>
      <c r="G275">
        <v>1.1000000000000001</v>
      </c>
      <c r="H275">
        <v>12.2</v>
      </c>
      <c r="I275">
        <f t="shared" si="19"/>
        <v>12.0306</v>
      </c>
      <c r="J275">
        <v>89</v>
      </c>
      <c r="M275">
        <f t="shared" si="16"/>
        <v>0.1302762636789038</v>
      </c>
      <c r="N275">
        <f t="shared" si="17"/>
        <v>8.3121373830066667E-2</v>
      </c>
    </row>
    <row r="276" spans="2:14" x14ac:dyDescent="0.25">
      <c r="B276" s="13"/>
      <c r="C276">
        <v>140</v>
      </c>
      <c r="D276" s="13"/>
      <c r="E276" s="13"/>
      <c r="F276">
        <v>76.5</v>
      </c>
      <c r="G276">
        <v>5.5</v>
      </c>
      <c r="H276">
        <v>61.1</v>
      </c>
      <c r="I276">
        <f t="shared" si="19"/>
        <v>56.865000000000002</v>
      </c>
      <c r="J276">
        <v>233</v>
      </c>
      <c r="M276">
        <f t="shared" si="16"/>
        <v>3.0755048975072825E-2</v>
      </c>
      <c r="N276">
        <f t="shared" si="17"/>
        <v>1.7585509540138926E-2</v>
      </c>
    </row>
    <row r="277" spans="2:14" x14ac:dyDescent="0.25">
      <c r="B277" s="13"/>
      <c r="C277">
        <v>140</v>
      </c>
      <c r="D277" s="13" t="s">
        <v>25</v>
      </c>
      <c r="E277" s="13"/>
      <c r="F277">
        <v>76.5</v>
      </c>
      <c r="G277">
        <v>1.95</v>
      </c>
      <c r="H277">
        <v>28.9</v>
      </c>
      <c r="I277">
        <f t="shared" si="19"/>
        <v>28.367649999999998</v>
      </c>
      <c r="J277">
        <v>137</v>
      </c>
      <c r="M277">
        <f t="shared" si="16"/>
        <v>6.8213361814409262E-2</v>
      </c>
      <c r="N277">
        <f t="shared" si="17"/>
        <v>3.525142195423308E-2</v>
      </c>
    </row>
    <row r="278" spans="2:14" x14ac:dyDescent="0.25">
      <c r="B278" s="13"/>
      <c r="C278">
        <v>140</v>
      </c>
      <c r="D278" s="13"/>
      <c r="E278" s="13"/>
      <c r="F278">
        <v>76.5</v>
      </c>
      <c r="G278">
        <v>7.6</v>
      </c>
      <c r="H278">
        <v>112.5</v>
      </c>
      <c r="I278">
        <f t="shared" si="19"/>
        <v>104.4136</v>
      </c>
      <c r="J278">
        <v>301</v>
      </c>
      <c r="M278">
        <f t="shared" si="16"/>
        <v>2.0945974047078188E-2</v>
      </c>
      <c r="N278">
        <f t="shared" si="17"/>
        <v>9.5772964441413755E-3</v>
      </c>
    </row>
    <row r="279" spans="2:14" x14ac:dyDescent="0.25">
      <c r="B279" s="13"/>
      <c r="C279">
        <v>140</v>
      </c>
      <c r="D279" s="13" t="s">
        <v>17</v>
      </c>
      <c r="E279" s="13" t="s">
        <v>39</v>
      </c>
      <c r="F279">
        <v>76.2</v>
      </c>
      <c r="G279">
        <v>1.05</v>
      </c>
      <c r="H279">
        <v>7.8</v>
      </c>
      <c r="I279">
        <f t="shared" si="19"/>
        <v>7.6456499999999998</v>
      </c>
      <c r="J279">
        <v>66</v>
      </c>
      <c r="M279">
        <f t="shared" si="16"/>
        <v>0.20320198091504074</v>
      </c>
      <c r="N279">
        <f t="shared" si="17"/>
        <v>0.13079332692446033</v>
      </c>
    </row>
    <row r="280" spans="2:14" x14ac:dyDescent="0.25">
      <c r="B280" s="13"/>
      <c r="C280">
        <v>140</v>
      </c>
      <c r="D280" s="13"/>
      <c r="E280" s="13"/>
      <c r="F280">
        <v>76.2</v>
      </c>
      <c r="G280">
        <v>5.4</v>
      </c>
      <c r="H280">
        <v>40</v>
      </c>
      <c r="I280">
        <f t="shared" si="19"/>
        <v>35.9176</v>
      </c>
      <c r="J280">
        <v>167</v>
      </c>
      <c r="M280">
        <f t="shared" si="16"/>
        <v>5.0485787380936814E-2</v>
      </c>
      <c r="N280">
        <f t="shared" si="17"/>
        <v>2.7841503886673943E-2</v>
      </c>
    </row>
    <row r="281" spans="2:14" x14ac:dyDescent="0.25">
      <c r="B281" s="13"/>
      <c r="C281">
        <v>140</v>
      </c>
      <c r="D281" s="13" t="s">
        <v>22</v>
      </c>
      <c r="E281" s="13"/>
      <c r="F281">
        <v>76.2</v>
      </c>
      <c r="G281">
        <v>1.8</v>
      </c>
      <c r="H281">
        <v>20</v>
      </c>
      <c r="I281">
        <f t="shared" si="19"/>
        <v>19.546399999999998</v>
      </c>
      <c r="J281">
        <v>102</v>
      </c>
      <c r="M281">
        <f t="shared" si="16"/>
        <v>0.10576539191595523</v>
      </c>
      <c r="N281">
        <f t="shared" si="17"/>
        <v>5.1160315966111411E-2</v>
      </c>
    </row>
    <row r="282" spans="2:14" x14ac:dyDescent="0.25">
      <c r="B282" s="13"/>
      <c r="C282">
        <v>140</v>
      </c>
      <c r="D282" s="13"/>
      <c r="E282" s="13"/>
      <c r="F282">
        <v>76.2</v>
      </c>
      <c r="G282">
        <v>7.7</v>
      </c>
      <c r="H282">
        <v>85.5</v>
      </c>
      <c r="I282">
        <f t="shared" si="19"/>
        <v>77.199399999999997</v>
      </c>
      <c r="J282">
        <v>235</v>
      </c>
      <c r="M282">
        <f t="shared" si="16"/>
        <v>3.0244196235256617E-2</v>
      </c>
      <c r="N282">
        <f t="shared" si="17"/>
        <v>1.2953468550273708E-2</v>
      </c>
    </row>
    <row r="283" spans="2:14" x14ac:dyDescent="0.25">
      <c r="B283" s="13" t="s">
        <v>40</v>
      </c>
      <c r="C283">
        <v>260</v>
      </c>
      <c r="D283" s="13" t="s">
        <v>41</v>
      </c>
      <c r="E283" s="13" t="s">
        <v>34</v>
      </c>
      <c r="F283">
        <v>63.5</v>
      </c>
      <c r="G283">
        <v>0.52</v>
      </c>
      <c r="H283">
        <v>9.6</v>
      </c>
      <c r="I283">
        <f t="shared" si="19"/>
        <v>9.5296959999999995</v>
      </c>
      <c r="J283">
        <v>76</v>
      </c>
      <c r="M283">
        <f t="shared" si="16"/>
        <v>0.13703837691535806</v>
      </c>
      <c r="N283">
        <f t="shared" si="17"/>
        <v>0.10493514168762572</v>
      </c>
    </row>
    <row r="284" spans="2:14" x14ac:dyDescent="0.25">
      <c r="B284" s="13"/>
      <c r="C284">
        <v>260</v>
      </c>
      <c r="D284" s="13"/>
      <c r="E284" s="13"/>
      <c r="F284">
        <v>63.5</v>
      </c>
      <c r="G284">
        <v>2.6</v>
      </c>
      <c r="H284">
        <v>48.1</v>
      </c>
      <c r="I284">
        <f t="shared" si="19"/>
        <v>46.342399999999998</v>
      </c>
      <c r="J284">
        <v>188</v>
      </c>
      <c r="M284">
        <f t="shared" si="16"/>
        <v>3.5222957659831786E-2</v>
      </c>
      <c r="N284">
        <f t="shared" si="17"/>
        <v>2.1578511255351471E-2</v>
      </c>
    </row>
    <row r="285" spans="2:14" x14ac:dyDescent="0.25">
      <c r="B285" s="13"/>
      <c r="C285">
        <v>260</v>
      </c>
      <c r="D285" s="13" t="s">
        <v>38</v>
      </c>
      <c r="E285" s="13"/>
      <c r="F285">
        <v>63.5</v>
      </c>
      <c r="G285">
        <v>0.6</v>
      </c>
      <c r="H285">
        <v>11.1</v>
      </c>
      <c r="I285">
        <f t="shared" si="19"/>
        <v>11.006399999999999</v>
      </c>
      <c r="J285">
        <v>85</v>
      </c>
      <c r="M285">
        <f t="shared" si="16"/>
        <v>0.11586018191148645</v>
      </c>
      <c r="N285">
        <f t="shared" si="17"/>
        <v>9.0856229103067315E-2</v>
      </c>
    </row>
    <row r="286" spans="2:14" x14ac:dyDescent="0.25">
      <c r="B286" s="13"/>
      <c r="C286">
        <v>260</v>
      </c>
      <c r="D286" s="13"/>
      <c r="E286" s="13"/>
      <c r="F286">
        <v>63.5</v>
      </c>
      <c r="G286">
        <v>3.2</v>
      </c>
      <c r="H286">
        <v>59.2</v>
      </c>
      <c r="I286">
        <f t="shared" si="19"/>
        <v>56.537600000000005</v>
      </c>
      <c r="J286">
        <v>236</v>
      </c>
      <c r="M286">
        <f t="shared" si="16"/>
        <v>2.5043474960013582E-2</v>
      </c>
      <c r="N286">
        <f t="shared" si="17"/>
        <v>1.7687344351369705E-2</v>
      </c>
    </row>
    <row r="287" spans="2:14" x14ac:dyDescent="0.25">
      <c r="B287" s="13"/>
      <c r="C287">
        <v>260</v>
      </c>
      <c r="D287" s="13" t="s">
        <v>41</v>
      </c>
      <c r="E287" s="13" t="s">
        <v>45</v>
      </c>
      <c r="F287">
        <v>76.5</v>
      </c>
      <c r="G287">
        <v>1</v>
      </c>
      <c r="H287">
        <v>18.5</v>
      </c>
      <c r="I287">
        <f t="shared" si="19"/>
        <v>18.239999999999998</v>
      </c>
      <c r="J287">
        <v>122</v>
      </c>
      <c r="M287">
        <f t="shared" si="16"/>
        <v>8.1172805897423386E-2</v>
      </c>
      <c r="N287">
        <f t="shared" si="17"/>
        <v>5.4824561403508776E-2</v>
      </c>
    </row>
    <row r="288" spans="2:14" x14ac:dyDescent="0.25">
      <c r="B288" s="13"/>
      <c r="C288">
        <v>260</v>
      </c>
      <c r="D288" s="13"/>
      <c r="E288" s="13"/>
      <c r="F288">
        <v>76.5</v>
      </c>
      <c r="G288">
        <v>3.6</v>
      </c>
      <c r="H288">
        <v>66.599999999999994</v>
      </c>
      <c r="I288">
        <f t="shared" si="19"/>
        <v>63.230399999999996</v>
      </c>
      <c r="J288">
        <v>288</v>
      </c>
      <c r="M288">
        <f t="shared" si="16"/>
        <v>2.2380076816041594E-2</v>
      </c>
      <c r="N288">
        <f t="shared" si="17"/>
        <v>1.5815177509552369E-2</v>
      </c>
    </row>
    <row r="289" spans="1:14" x14ac:dyDescent="0.25">
      <c r="B289" s="13"/>
      <c r="C289">
        <v>260</v>
      </c>
      <c r="D289" s="13" t="s">
        <v>38</v>
      </c>
      <c r="E289" s="13"/>
      <c r="F289">
        <v>76.5</v>
      </c>
      <c r="G289">
        <v>1</v>
      </c>
      <c r="H289">
        <v>22.2</v>
      </c>
      <c r="I289">
        <f t="shared" si="19"/>
        <v>21.939999999999998</v>
      </c>
      <c r="J289">
        <v>151</v>
      </c>
      <c r="M289">
        <f t="shared" ref="M289:M368" si="20">1/(((2/PI()/1.225)^(1/2))/F289*1000*((J289/1000*9.8)^(3/2)))</f>
        <v>5.8950145796983419E-2</v>
      </c>
      <c r="N289">
        <f t="shared" ref="N289:N368" si="21">1/I289</f>
        <v>4.5578851412944398E-2</v>
      </c>
    </row>
    <row r="290" spans="1:14" x14ac:dyDescent="0.25">
      <c r="B290" s="13"/>
      <c r="C290">
        <v>260</v>
      </c>
      <c r="D290" s="13"/>
      <c r="E290" s="13"/>
      <c r="F290">
        <v>76.5</v>
      </c>
      <c r="G290">
        <v>4.0999999999999996</v>
      </c>
      <c r="H290">
        <v>91</v>
      </c>
      <c r="I290">
        <f t="shared" si="19"/>
        <v>86.629400000000004</v>
      </c>
      <c r="J290">
        <v>350</v>
      </c>
      <c r="M290">
        <f t="shared" si="20"/>
        <v>1.6705067620307528E-2</v>
      </c>
      <c r="N290">
        <f t="shared" si="21"/>
        <v>1.1543425211302399E-2</v>
      </c>
    </row>
    <row r="291" spans="1:14" x14ac:dyDescent="0.25">
      <c r="B291" s="13"/>
      <c r="C291">
        <v>260</v>
      </c>
      <c r="D291" s="13" t="s">
        <v>41</v>
      </c>
      <c r="E291" s="13" t="s">
        <v>30</v>
      </c>
      <c r="F291">
        <v>76.5</v>
      </c>
      <c r="G291">
        <v>0.8</v>
      </c>
      <c r="H291">
        <v>14.8</v>
      </c>
      <c r="I291">
        <f t="shared" si="19"/>
        <v>14.633600000000001</v>
      </c>
      <c r="J291">
        <v>119</v>
      </c>
      <c r="M291">
        <f t="shared" si="20"/>
        <v>8.4261631223314051E-2</v>
      </c>
      <c r="N291">
        <f t="shared" si="21"/>
        <v>6.8335884539689473E-2</v>
      </c>
    </row>
    <row r="292" spans="1:14" x14ac:dyDescent="0.25">
      <c r="B292" s="13"/>
      <c r="C292">
        <v>260</v>
      </c>
      <c r="D292" s="13"/>
      <c r="E292" s="13"/>
      <c r="F292">
        <v>76.5</v>
      </c>
      <c r="G292">
        <v>4.2</v>
      </c>
      <c r="H292">
        <v>77.7</v>
      </c>
      <c r="I292">
        <f t="shared" si="19"/>
        <v>73.113600000000005</v>
      </c>
      <c r="J292">
        <v>311</v>
      </c>
      <c r="M292">
        <f t="shared" si="20"/>
        <v>1.9943883147326886E-2</v>
      </c>
      <c r="N292">
        <f t="shared" si="21"/>
        <v>1.3677345938375348E-2</v>
      </c>
    </row>
    <row r="293" spans="1:14" x14ac:dyDescent="0.25">
      <c r="B293" s="13"/>
      <c r="C293">
        <v>260</v>
      </c>
      <c r="D293" s="13" t="s">
        <v>38</v>
      </c>
      <c r="E293" s="13"/>
      <c r="F293">
        <v>76.5</v>
      </c>
      <c r="G293">
        <v>1.1000000000000001</v>
      </c>
      <c r="H293">
        <v>24.8</v>
      </c>
      <c r="I293">
        <f t="shared" si="19"/>
        <v>24.485400000000002</v>
      </c>
      <c r="J293">
        <v>163</v>
      </c>
      <c r="M293">
        <f t="shared" si="20"/>
        <v>5.2561638848845113E-2</v>
      </c>
      <c r="N293">
        <f t="shared" si="21"/>
        <v>4.0840664232563072E-2</v>
      </c>
    </row>
    <row r="294" spans="1:14" x14ac:dyDescent="0.25">
      <c r="B294" s="13"/>
      <c r="C294">
        <v>260</v>
      </c>
      <c r="D294" s="13"/>
      <c r="E294" s="13"/>
      <c r="F294">
        <v>76.5</v>
      </c>
      <c r="G294">
        <v>4.3</v>
      </c>
      <c r="H294">
        <v>96.8</v>
      </c>
      <c r="I294">
        <f t="shared" ref="I294:I341" si="22">H294-G294^2*C294/1000</f>
        <v>91.992599999999996</v>
      </c>
      <c r="J294">
        <v>353</v>
      </c>
      <c r="M294">
        <f t="shared" si="20"/>
        <v>1.6492566595515953E-2</v>
      </c>
      <c r="N294">
        <f t="shared" si="21"/>
        <v>1.087043957883569E-2</v>
      </c>
    </row>
    <row r="295" spans="1:14" x14ac:dyDescent="0.25">
      <c r="B295" s="13"/>
      <c r="C295">
        <v>260</v>
      </c>
      <c r="D295" s="13" t="s">
        <v>41</v>
      </c>
      <c r="E295" s="13" t="s">
        <v>39</v>
      </c>
      <c r="F295">
        <v>76.2</v>
      </c>
      <c r="G295">
        <v>0.8</v>
      </c>
      <c r="H295">
        <v>14.8</v>
      </c>
      <c r="I295">
        <f t="shared" si="22"/>
        <v>14.633600000000001</v>
      </c>
      <c r="J295">
        <v>88</v>
      </c>
      <c r="M295">
        <f t="shared" si="20"/>
        <v>0.13198355817880944</v>
      </c>
      <c r="N295">
        <f t="shared" si="21"/>
        <v>6.8335884539689473E-2</v>
      </c>
    </row>
    <row r="296" spans="1:14" x14ac:dyDescent="0.25">
      <c r="B296" s="13"/>
      <c r="C296">
        <v>260</v>
      </c>
      <c r="D296" s="13"/>
      <c r="E296" s="13"/>
      <c r="F296">
        <v>76.2</v>
      </c>
      <c r="G296">
        <v>4.0999999999999996</v>
      </c>
      <c r="H296">
        <v>75.900000000000006</v>
      </c>
      <c r="I296">
        <f t="shared" si="22"/>
        <v>71.52940000000001</v>
      </c>
      <c r="J296">
        <v>223</v>
      </c>
      <c r="M296">
        <f t="shared" si="20"/>
        <v>3.2717984783906473E-2</v>
      </c>
      <c r="N296">
        <f t="shared" si="21"/>
        <v>1.39802654572805E-2</v>
      </c>
    </row>
    <row r="297" spans="1:14" x14ac:dyDescent="0.25">
      <c r="B297" s="13"/>
      <c r="C297">
        <v>260</v>
      </c>
      <c r="D297" s="13" t="s">
        <v>38</v>
      </c>
      <c r="E297" s="13"/>
      <c r="F297">
        <v>76.2</v>
      </c>
      <c r="G297">
        <v>1</v>
      </c>
      <c r="H297">
        <v>22.2</v>
      </c>
      <c r="I297">
        <f t="shared" si="22"/>
        <v>21.939999999999998</v>
      </c>
      <c r="J297">
        <v>121</v>
      </c>
      <c r="M297">
        <f t="shared" si="20"/>
        <v>8.1858877529846011E-2</v>
      </c>
      <c r="N297">
        <f t="shared" si="21"/>
        <v>4.5578851412944398E-2</v>
      </c>
    </row>
    <row r="298" spans="1:14" x14ac:dyDescent="0.25">
      <c r="B298" s="13"/>
      <c r="C298">
        <v>260</v>
      </c>
      <c r="D298" s="13"/>
      <c r="E298" s="13"/>
      <c r="F298">
        <v>76.2</v>
      </c>
      <c r="G298">
        <v>4.4000000000000004</v>
      </c>
      <c r="H298">
        <v>97.7</v>
      </c>
      <c r="I298">
        <f t="shared" si="22"/>
        <v>92.666399999999996</v>
      </c>
      <c r="J298">
        <v>277</v>
      </c>
      <c r="M298">
        <f t="shared" si="20"/>
        <v>2.363329015865492E-2</v>
      </c>
      <c r="N298">
        <f t="shared" si="21"/>
        <v>1.0791397960857442E-2</v>
      </c>
    </row>
    <row r="299" spans="1:14" x14ac:dyDescent="0.25">
      <c r="A299" s="1">
        <v>1404</v>
      </c>
      <c r="B299" s="13" t="s">
        <v>13</v>
      </c>
      <c r="C299">
        <v>105</v>
      </c>
      <c r="D299" s="13" t="s">
        <v>17</v>
      </c>
      <c r="E299" s="13" t="s">
        <v>151</v>
      </c>
      <c r="F299">
        <v>63.5</v>
      </c>
      <c r="G299">
        <v>1.4</v>
      </c>
      <c r="H299">
        <v>10.4</v>
      </c>
      <c r="I299">
        <f t="shared" si="22"/>
        <v>10.1942</v>
      </c>
      <c r="J299">
        <v>79</v>
      </c>
      <c r="M299">
        <f t="shared" ref="M299:M314" si="23">1/(((2/PI()/1.225)^(1/2))/F299*1000*((J299/1000*9.8)^(3/2)))</f>
        <v>0.12930697670183336</v>
      </c>
      <c r="N299">
        <f t="shared" ref="N299:N314" si="24">1/I299</f>
        <v>9.8094995193345233E-2</v>
      </c>
    </row>
    <row r="300" spans="1:14" x14ac:dyDescent="0.25">
      <c r="A300" t="s">
        <v>11</v>
      </c>
      <c r="B300" s="13"/>
      <c r="C300">
        <v>105</v>
      </c>
      <c r="D300" s="13"/>
      <c r="E300" s="13"/>
      <c r="F300">
        <v>63.5</v>
      </c>
      <c r="G300">
        <v>7.1</v>
      </c>
      <c r="H300">
        <v>52.5</v>
      </c>
      <c r="I300">
        <f t="shared" si="22"/>
        <v>47.206949999999999</v>
      </c>
      <c r="J300">
        <v>228</v>
      </c>
      <c r="M300">
        <f t="shared" si="23"/>
        <v>2.6373047933797123E-2</v>
      </c>
      <c r="N300">
        <f t="shared" si="24"/>
        <v>2.1183321523631584E-2</v>
      </c>
    </row>
    <row r="301" spans="1:14" x14ac:dyDescent="0.25">
      <c r="A301" t="s">
        <v>47</v>
      </c>
      <c r="B301" s="13"/>
      <c r="C301">
        <v>105</v>
      </c>
      <c r="D301" s="13" t="s">
        <v>22</v>
      </c>
      <c r="E301" s="13"/>
      <c r="F301">
        <v>63.5</v>
      </c>
      <c r="G301">
        <v>2.9</v>
      </c>
      <c r="H301">
        <v>21.5</v>
      </c>
      <c r="I301">
        <f t="shared" si="22"/>
        <v>20.616949999999999</v>
      </c>
      <c r="J301">
        <v>145</v>
      </c>
      <c r="M301">
        <f t="shared" si="23"/>
        <v>5.2000867798208998E-2</v>
      </c>
      <c r="N301">
        <f t="shared" si="24"/>
        <v>4.8503779657029775E-2</v>
      </c>
    </row>
    <row r="302" spans="1:14" x14ac:dyDescent="0.25">
      <c r="B302" s="13"/>
      <c r="C302">
        <v>105</v>
      </c>
      <c r="D302" s="13"/>
      <c r="E302" s="13"/>
      <c r="F302">
        <v>63.5</v>
      </c>
      <c r="G302">
        <v>12.1</v>
      </c>
      <c r="H302">
        <v>89.5</v>
      </c>
      <c r="I302">
        <f t="shared" si="22"/>
        <v>74.126949999999994</v>
      </c>
      <c r="J302">
        <v>393</v>
      </c>
      <c r="M302">
        <f t="shared" si="23"/>
        <v>1.1653966599396715E-2</v>
      </c>
      <c r="N302">
        <f t="shared" si="24"/>
        <v>1.3490370236465956E-2</v>
      </c>
    </row>
    <row r="303" spans="1:14" x14ac:dyDescent="0.25">
      <c r="B303" s="13"/>
      <c r="C303">
        <v>105</v>
      </c>
      <c r="D303" s="13" t="s">
        <v>17</v>
      </c>
      <c r="E303" s="13" t="s">
        <v>39</v>
      </c>
      <c r="F303">
        <v>76.2</v>
      </c>
      <c r="G303">
        <v>2.5</v>
      </c>
      <c r="H303">
        <v>18.5</v>
      </c>
      <c r="I303">
        <f t="shared" si="22"/>
        <v>17.84375</v>
      </c>
      <c r="J303">
        <v>118</v>
      </c>
      <c r="M303">
        <f t="shared" si="23"/>
        <v>8.5000372649765288E-2</v>
      </c>
      <c r="N303">
        <f t="shared" si="24"/>
        <v>5.6042031523642732E-2</v>
      </c>
    </row>
    <row r="304" spans="1:14" x14ac:dyDescent="0.25">
      <c r="B304" s="13"/>
      <c r="C304">
        <v>105</v>
      </c>
      <c r="D304" s="13"/>
      <c r="E304" s="13"/>
      <c r="F304">
        <v>76.2</v>
      </c>
      <c r="G304">
        <v>10.7</v>
      </c>
      <c r="H304">
        <v>79.2</v>
      </c>
      <c r="I304">
        <f t="shared" si="22"/>
        <v>67.178550000000001</v>
      </c>
      <c r="J304">
        <v>297</v>
      </c>
      <c r="M304">
        <f t="shared" si="23"/>
        <v>2.1286740541565138E-2</v>
      </c>
      <c r="N304">
        <f t="shared" si="24"/>
        <v>1.4885703844456304E-2</v>
      </c>
    </row>
    <row r="305" spans="2:14" x14ac:dyDescent="0.25">
      <c r="B305" s="13"/>
      <c r="C305">
        <v>105</v>
      </c>
      <c r="D305" s="13" t="s">
        <v>22</v>
      </c>
      <c r="E305" s="13"/>
      <c r="F305">
        <v>76.2</v>
      </c>
      <c r="G305">
        <v>3.4</v>
      </c>
      <c r="H305">
        <v>37.700000000000003</v>
      </c>
      <c r="I305">
        <f t="shared" si="22"/>
        <v>36.486200000000004</v>
      </c>
      <c r="J305">
        <v>170</v>
      </c>
      <c r="M305">
        <f t="shared" si="23"/>
        <v>4.915531217947143E-2</v>
      </c>
      <c r="N305">
        <f t="shared" si="24"/>
        <v>2.7407622607999733E-2</v>
      </c>
    </row>
    <row r="306" spans="2:14" x14ac:dyDescent="0.25">
      <c r="B306" s="13"/>
      <c r="C306">
        <v>105</v>
      </c>
      <c r="D306" s="13"/>
      <c r="E306" s="13"/>
      <c r="F306">
        <v>76.2</v>
      </c>
      <c r="G306">
        <v>15</v>
      </c>
      <c r="H306">
        <v>166.5</v>
      </c>
      <c r="I306">
        <f t="shared" si="22"/>
        <v>142.875</v>
      </c>
      <c r="J306">
        <v>408</v>
      </c>
      <c r="M306">
        <f t="shared" si="23"/>
        <v>1.3220673989494409E-2</v>
      </c>
      <c r="N306">
        <f t="shared" si="24"/>
        <v>6.99912510936133E-3</v>
      </c>
    </row>
    <row r="307" spans="2:14" x14ac:dyDescent="0.25">
      <c r="B307" s="13"/>
      <c r="C307">
        <v>105</v>
      </c>
      <c r="D307" s="13" t="s">
        <v>17</v>
      </c>
      <c r="E307" s="13" t="s">
        <v>152</v>
      </c>
      <c r="F307">
        <v>76.2</v>
      </c>
      <c r="G307">
        <v>2.6</v>
      </c>
      <c r="H307">
        <v>19.2</v>
      </c>
      <c r="I307">
        <f t="shared" si="22"/>
        <v>18.490199999999998</v>
      </c>
      <c r="J307">
        <v>141</v>
      </c>
      <c r="M307">
        <f t="shared" si="23"/>
        <v>6.5075149076987734E-2</v>
      </c>
      <c r="N307">
        <f t="shared" si="24"/>
        <v>5.4082703269840243E-2</v>
      </c>
    </row>
    <row r="308" spans="2:14" x14ac:dyDescent="0.25">
      <c r="B308" s="13"/>
      <c r="C308">
        <v>105</v>
      </c>
      <c r="D308" s="13"/>
      <c r="E308" s="13"/>
      <c r="F308">
        <v>76.2</v>
      </c>
      <c r="G308">
        <v>11.2</v>
      </c>
      <c r="H308">
        <v>82.9</v>
      </c>
      <c r="I308">
        <f t="shared" si="22"/>
        <v>69.728800000000007</v>
      </c>
      <c r="J308">
        <v>305</v>
      </c>
      <c r="M308">
        <f t="shared" si="23"/>
        <v>2.0454745561870411E-2</v>
      </c>
      <c r="N308">
        <f t="shared" si="24"/>
        <v>1.4341276488337672E-2</v>
      </c>
    </row>
    <row r="309" spans="2:14" x14ac:dyDescent="0.25">
      <c r="B309" s="13"/>
      <c r="C309">
        <v>105</v>
      </c>
      <c r="D309" s="13" t="s">
        <v>22</v>
      </c>
      <c r="E309" s="13"/>
      <c r="F309">
        <v>76.2</v>
      </c>
      <c r="G309">
        <v>4</v>
      </c>
      <c r="H309">
        <v>44.4</v>
      </c>
      <c r="I309">
        <f t="shared" si="22"/>
        <v>42.72</v>
      </c>
      <c r="J309">
        <v>182</v>
      </c>
      <c r="M309">
        <f t="shared" si="23"/>
        <v>4.4374835763251096E-2</v>
      </c>
      <c r="N309">
        <f t="shared" si="24"/>
        <v>2.3408239700374533E-2</v>
      </c>
    </row>
    <row r="310" spans="2:14" x14ac:dyDescent="0.25">
      <c r="B310" s="13"/>
      <c r="C310">
        <v>105</v>
      </c>
      <c r="D310" s="13"/>
      <c r="E310" s="13"/>
      <c r="F310">
        <v>76.2</v>
      </c>
      <c r="G310">
        <v>15.3</v>
      </c>
      <c r="H310">
        <v>169.8</v>
      </c>
      <c r="I310">
        <f t="shared" si="22"/>
        <v>145.22055</v>
      </c>
      <c r="J310">
        <v>416</v>
      </c>
      <c r="M310">
        <f t="shared" si="23"/>
        <v>1.284114780144191E-2</v>
      </c>
      <c r="N310">
        <f t="shared" si="24"/>
        <v>6.8860777624103475E-3</v>
      </c>
    </row>
    <row r="311" spans="2:14" x14ac:dyDescent="0.25">
      <c r="B311" s="13"/>
      <c r="C311">
        <v>105</v>
      </c>
      <c r="D311" s="13" t="s">
        <v>17</v>
      </c>
      <c r="E311" s="13" t="s">
        <v>153</v>
      </c>
      <c r="F311">
        <v>101.6</v>
      </c>
      <c r="G311">
        <v>2.4</v>
      </c>
      <c r="H311">
        <v>17.8</v>
      </c>
      <c r="I311">
        <f t="shared" si="22"/>
        <v>17.1952</v>
      </c>
      <c r="J311">
        <v>153</v>
      </c>
      <c r="M311">
        <f t="shared" si="23"/>
        <v>7.6761849670985247E-2</v>
      </c>
      <c r="N311">
        <f t="shared" si="24"/>
        <v>5.8155764399367267E-2</v>
      </c>
    </row>
    <row r="312" spans="2:14" x14ac:dyDescent="0.25">
      <c r="B312" s="13"/>
      <c r="C312">
        <v>105</v>
      </c>
      <c r="D312" s="13"/>
      <c r="E312" s="13"/>
      <c r="F312">
        <v>101.6</v>
      </c>
      <c r="G312">
        <v>12.7</v>
      </c>
      <c r="H312">
        <v>94</v>
      </c>
      <c r="I312">
        <f t="shared" si="22"/>
        <v>77.064549999999997</v>
      </c>
      <c r="J312">
        <v>391</v>
      </c>
      <c r="M312">
        <f t="shared" si="23"/>
        <v>1.8789595950618881E-2</v>
      </c>
      <c r="N312">
        <f t="shared" si="24"/>
        <v>1.2976134941422484E-2</v>
      </c>
    </row>
    <row r="313" spans="2:14" x14ac:dyDescent="0.25">
      <c r="B313" s="13"/>
      <c r="C313">
        <v>105</v>
      </c>
      <c r="D313" s="13" t="s">
        <v>22</v>
      </c>
      <c r="E313" s="13"/>
      <c r="F313">
        <v>101.6</v>
      </c>
      <c r="G313">
        <v>5.6</v>
      </c>
      <c r="H313">
        <v>62.2</v>
      </c>
      <c r="I313">
        <f t="shared" si="22"/>
        <v>58.907200000000003</v>
      </c>
      <c r="J313">
        <v>188</v>
      </c>
      <c r="M313">
        <f t="shared" si="23"/>
        <v>5.6356732255730846E-2</v>
      </c>
      <c r="N313">
        <f t="shared" si="24"/>
        <v>1.6975853545916287E-2</v>
      </c>
    </row>
    <row r="314" spans="2:14" x14ac:dyDescent="0.25">
      <c r="B314" s="13"/>
      <c r="C314">
        <v>105</v>
      </c>
      <c r="D314" s="13"/>
      <c r="E314" s="13"/>
      <c r="F314">
        <v>101.6</v>
      </c>
      <c r="G314">
        <v>15.8</v>
      </c>
      <c r="H314">
        <v>175.4</v>
      </c>
      <c r="I314">
        <f t="shared" si="22"/>
        <v>149.18780000000001</v>
      </c>
      <c r="J314">
        <v>474</v>
      </c>
      <c r="M314">
        <f t="shared" si="23"/>
        <v>1.407716058228641E-2</v>
      </c>
      <c r="N314">
        <f t="shared" si="24"/>
        <v>6.7029609659771099E-3</v>
      </c>
    </row>
    <row r="315" spans="2:14" x14ac:dyDescent="0.25">
      <c r="B315" s="13" t="s">
        <v>46</v>
      </c>
      <c r="C315">
        <v>250</v>
      </c>
      <c r="D315" s="13" t="s">
        <v>22</v>
      </c>
      <c r="E315" s="13" t="s">
        <v>151</v>
      </c>
      <c r="F315">
        <v>63.5</v>
      </c>
      <c r="G315">
        <v>0.55000000000000004</v>
      </c>
      <c r="H315">
        <v>6.1</v>
      </c>
      <c r="I315">
        <f t="shared" si="22"/>
        <v>6.024375</v>
      </c>
      <c r="J315">
        <v>65</v>
      </c>
      <c r="M315">
        <f t="shared" si="20"/>
        <v>0.17325770591325887</v>
      </c>
      <c r="N315">
        <f t="shared" si="21"/>
        <v>0.16599232285506796</v>
      </c>
    </row>
    <row r="316" spans="2:14" x14ac:dyDescent="0.25">
      <c r="B316" s="13"/>
      <c r="C316">
        <v>250</v>
      </c>
      <c r="D316" s="13"/>
      <c r="E316" s="13"/>
      <c r="F316">
        <v>63.5</v>
      </c>
      <c r="G316">
        <v>3.45</v>
      </c>
      <c r="H316">
        <v>38.299999999999997</v>
      </c>
      <c r="I316">
        <f t="shared" si="22"/>
        <v>35.324374999999996</v>
      </c>
      <c r="J316">
        <v>191</v>
      </c>
      <c r="M316">
        <f t="shared" si="20"/>
        <v>3.4396364595457772E-2</v>
      </c>
      <c r="N316">
        <f t="shared" si="21"/>
        <v>2.830906420849626E-2</v>
      </c>
    </row>
    <row r="317" spans="2:14" x14ac:dyDescent="0.25">
      <c r="B317" s="13"/>
      <c r="C317">
        <v>250</v>
      </c>
      <c r="D317" s="13" t="s">
        <v>25</v>
      </c>
      <c r="E317" s="13"/>
      <c r="F317">
        <v>63.5</v>
      </c>
      <c r="G317">
        <v>1.1499999999999999</v>
      </c>
      <c r="H317">
        <v>12.8</v>
      </c>
      <c r="I317">
        <f t="shared" si="22"/>
        <v>12.469375000000001</v>
      </c>
      <c r="J317">
        <v>106</v>
      </c>
      <c r="M317">
        <f t="shared" si="20"/>
        <v>8.3196258705326112E-2</v>
      </c>
      <c r="N317">
        <f t="shared" si="21"/>
        <v>8.0196481379379472E-2</v>
      </c>
    </row>
    <row r="318" spans="2:14" x14ac:dyDescent="0.25">
      <c r="B318" s="13"/>
      <c r="C318">
        <v>250</v>
      </c>
      <c r="D318" s="13"/>
      <c r="E318" s="13"/>
      <c r="F318">
        <v>63.5</v>
      </c>
      <c r="G318">
        <v>5.9</v>
      </c>
      <c r="H318">
        <v>65.5</v>
      </c>
      <c r="I318">
        <f t="shared" si="22"/>
        <v>56.797499999999999</v>
      </c>
      <c r="J318">
        <v>302</v>
      </c>
      <c r="M318">
        <f t="shared" si="20"/>
        <v>1.7300242079453576E-2</v>
      </c>
      <c r="N318">
        <f t="shared" si="21"/>
        <v>1.7606408732778731E-2</v>
      </c>
    </row>
    <row r="319" spans="2:14" x14ac:dyDescent="0.25">
      <c r="B319" s="13"/>
      <c r="C319">
        <v>250</v>
      </c>
      <c r="D319" s="13" t="s">
        <v>22</v>
      </c>
      <c r="E319" s="13" t="s">
        <v>39</v>
      </c>
      <c r="F319">
        <v>76.2</v>
      </c>
      <c r="G319">
        <v>1.1499999999999999</v>
      </c>
      <c r="H319">
        <v>12.8</v>
      </c>
      <c r="I319">
        <f t="shared" si="22"/>
        <v>12.469375000000001</v>
      </c>
      <c r="J319">
        <v>99</v>
      </c>
      <c r="M319">
        <f t="shared" si="20"/>
        <v>0.11060914843658119</v>
      </c>
      <c r="N319">
        <f t="shared" si="21"/>
        <v>8.0196481379379472E-2</v>
      </c>
    </row>
    <row r="320" spans="2:14" x14ac:dyDescent="0.25">
      <c r="B320" s="13"/>
      <c r="C320">
        <v>250</v>
      </c>
      <c r="D320" s="13"/>
      <c r="E320" s="13"/>
      <c r="F320">
        <v>76.2</v>
      </c>
      <c r="G320">
        <v>6.3</v>
      </c>
      <c r="H320">
        <v>69.900000000000006</v>
      </c>
      <c r="I320">
        <f t="shared" si="22"/>
        <v>59.977500000000006</v>
      </c>
      <c r="J320">
        <v>269</v>
      </c>
      <c r="M320">
        <f t="shared" si="20"/>
        <v>2.4695363362402672E-2</v>
      </c>
      <c r="N320">
        <f t="shared" si="21"/>
        <v>1.66729190112959E-2</v>
      </c>
    </row>
    <row r="321" spans="2:14" x14ac:dyDescent="0.25">
      <c r="B321" s="13"/>
      <c r="C321">
        <v>250</v>
      </c>
      <c r="D321" s="13" t="s">
        <v>25</v>
      </c>
      <c r="E321" s="13"/>
      <c r="F321">
        <v>76.2</v>
      </c>
      <c r="G321">
        <v>1.95</v>
      </c>
      <c r="H321">
        <v>28.9</v>
      </c>
      <c r="I321">
        <f t="shared" si="22"/>
        <v>27.949375</v>
      </c>
      <c r="J321">
        <v>154</v>
      </c>
      <c r="M321">
        <f t="shared" si="20"/>
        <v>5.7011538300498744E-2</v>
      </c>
      <c r="N321">
        <f t="shared" si="21"/>
        <v>3.577897537959257E-2</v>
      </c>
    </row>
    <row r="322" spans="2:14" x14ac:dyDescent="0.25">
      <c r="B322" s="13"/>
      <c r="C322">
        <v>250</v>
      </c>
      <c r="D322" s="13"/>
      <c r="E322" s="13"/>
      <c r="F322">
        <v>76.2</v>
      </c>
      <c r="G322">
        <v>9</v>
      </c>
      <c r="H322">
        <v>133.19999999999999</v>
      </c>
      <c r="I322">
        <f t="shared" si="22"/>
        <v>112.94999999999999</v>
      </c>
      <c r="J322">
        <v>385</v>
      </c>
      <c r="M322">
        <f t="shared" si="20"/>
        <v>1.4422905115160084E-2</v>
      </c>
      <c r="N322">
        <f t="shared" si="21"/>
        <v>8.8534749889331577E-3</v>
      </c>
    </row>
    <row r="323" spans="2:14" x14ac:dyDescent="0.25">
      <c r="B323" s="13"/>
      <c r="C323">
        <v>250</v>
      </c>
      <c r="D323" s="13" t="s">
        <v>22</v>
      </c>
      <c r="E323" s="13" t="s">
        <v>152</v>
      </c>
      <c r="F323">
        <v>76.2</v>
      </c>
      <c r="G323">
        <v>1.35</v>
      </c>
      <c r="H323">
        <v>15</v>
      </c>
      <c r="I323">
        <f t="shared" si="22"/>
        <v>14.544375</v>
      </c>
      <c r="J323">
        <v>106</v>
      </c>
      <c r="M323">
        <f t="shared" si="20"/>
        <v>9.9835510446391329E-2</v>
      </c>
      <c r="N323">
        <f t="shared" si="21"/>
        <v>6.8755102917794672E-2</v>
      </c>
    </row>
    <row r="324" spans="2:14" x14ac:dyDescent="0.25">
      <c r="B324" s="13"/>
      <c r="C324">
        <v>250</v>
      </c>
      <c r="D324" s="13"/>
      <c r="E324" s="13"/>
      <c r="F324">
        <v>76.2</v>
      </c>
      <c r="G324">
        <v>6.5</v>
      </c>
      <c r="H324">
        <v>72.2</v>
      </c>
      <c r="I324">
        <f t="shared" si="22"/>
        <v>61.637500000000003</v>
      </c>
      <c r="J324">
        <v>279</v>
      </c>
      <c r="M324">
        <f t="shared" si="20"/>
        <v>2.337962471936552E-2</v>
      </c>
      <c r="N324">
        <f t="shared" si="21"/>
        <v>1.6223889677550191E-2</v>
      </c>
    </row>
    <row r="325" spans="2:14" x14ac:dyDescent="0.25">
      <c r="B325" s="13"/>
      <c r="C325">
        <v>250</v>
      </c>
      <c r="D325" s="13" t="s">
        <v>25</v>
      </c>
      <c r="E325" s="13"/>
      <c r="F325">
        <v>76.2</v>
      </c>
      <c r="G325">
        <v>2.2999999999999998</v>
      </c>
      <c r="H325">
        <v>34</v>
      </c>
      <c r="I325">
        <f t="shared" si="22"/>
        <v>32.677500000000002</v>
      </c>
      <c r="J325">
        <v>168</v>
      </c>
      <c r="M325">
        <f t="shared" si="20"/>
        <v>5.0035692871804024E-2</v>
      </c>
      <c r="N325">
        <f t="shared" si="21"/>
        <v>3.0602096243592683E-2</v>
      </c>
    </row>
    <row r="326" spans="2:14" x14ac:dyDescent="0.25">
      <c r="B326" s="13"/>
      <c r="C326">
        <v>250</v>
      </c>
      <c r="D326" s="13"/>
      <c r="E326" s="13"/>
      <c r="F326">
        <v>76.2</v>
      </c>
      <c r="G326">
        <v>9.6</v>
      </c>
      <c r="H326">
        <v>142.1</v>
      </c>
      <c r="I326">
        <f t="shared" si="22"/>
        <v>119.06</v>
      </c>
      <c r="J326">
        <v>401</v>
      </c>
      <c r="M326">
        <f t="shared" si="20"/>
        <v>1.3568357620351577E-2</v>
      </c>
      <c r="N326">
        <f t="shared" si="21"/>
        <v>8.3991264908449513E-3</v>
      </c>
    </row>
    <row r="327" spans="2:14" x14ac:dyDescent="0.25">
      <c r="B327" s="13"/>
      <c r="C327">
        <v>250</v>
      </c>
      <c r="D327" s="13" t="s">
        <v>22</v>
      </c>
      <c r="E327" s="13" t="s">
        <v>153</v>
      </c>
      <c r="F327">
        <v>101.6</v>
      </c>
      <c r="G327">
        <v>1.65</v>
      </c>
      <c r="H327">
        <v>18.3</v>
      </c>
      <c r="I327">
        <f t="shared" si="22"/>
        <v>17.619375000000002</v>
      </c>
      <c r="J327">
        <v>146</v>
      </c>
      <c r="M327">
        <f t="shared" si="20"/>
        <v>8.2348045080297069E-2</v>
      </c>
      <c r="N327">
        <f t="shared" si="21"/>
        <v>5.6755702174452832E-2</v>
      </c>
    </row>
    <row r="328" spans="2:14" x14ac:dyDescent="0.25">
      <c r="B328" s="13"/>
      <c r="C328">
        <v>250</v>
      </c>
      <c r="D328" s="13"/>
      <c r="E328" s="13"/>
      <c r="F328">
        <v>101.6</v>
      </c>
      <c r="G328">
        <v>7.4</v>
      </c>
      <c r="H328">
        <v>82.1</v>
      </c>
      <c r="I328">
        <f t="shared" si="22"/>
        <v>68.41</v>
      </c>
      <c r="J328">
        <v>353</v>
      </c>
      <c r="M328">
        <f t="shared" si="20"/>
        <v>2.1903853151691778E-2</v>
      </c>
      <c r="N328">
        <f t="shared" si="21"/>
        <v>1.4617745943575502E-2</v>
      </c>
    </row>
    <row r="329" spans="2:14" x14ac:dyDescent="0.25">
      <c r="B329" s="13" t="s">
        <v>48</v>
      </c>
      <c r="C329">
        <v>400</v>
      </c>
      <c r="D329" s="13" t="s">
        <v>25</v>
      </c>
      <c r="E329" s="13" t="s">
        <v>151</v>
      </c>
      <c r="F329">
        <v>63.5</v>
      </c>
      <c r="G329">
        <v>0.2</v>
      </c>
      <c r="H329">
        <v>3</v>
      </c>
      <c r="I329">
        <f t="shared" si="22"/>
        <v>2.984</v>
      </c>
      <c r="J329">
        <v>58</v>
      </c>
      <c r="M329">
        <f t="shared" si="20"/>
        <v>0.20555147818455696</v>
      </c>
      <c r="N329">
        <f t="shared" si="21"/>
        <v>0.33512064343163539</v>
      </c>
    </row>
    <row r="330" spans="2:14" x14ac:dyDescent="0.25">
      <c r="B330" s="13"/>
      <c r="C330">
        <v>400</v>
      </c>
      <c r="D330" s="13"/>
      <c r="E330" s="13"/>
      <c r="F330">
        <v>63.5</v>
      </c>
      <c r="G330">
        <v>2.2999999999999998</v>
      </c>
      <c r="H330">
        <v>34</v>
      </c>
      <c r="I330">
        <f t="shared" si="22"/>
        <v>31.884</v>
      </c>
      <c r="J330">
        <v>178</v>
      </c>
      <c r="M330">
        <f t="shared" si="20"/>
        <v>3.8232490664460619E-2</v>
      </c>
      <c r="N330">
        <f t="shared" si="21"/>
        <v>3.1363693388533433E-2</v>
      </c>
    </row>
    <row r="331" spans="2:14" x14ac:dyDescent="0.25">
      <c r="B331" s="13"/>
      <c r="C331">
        <v>400</v>
      </c>
      <c r="D331" s="13" t="s">
        <v>38</v>
      </c>
      <c r="E331" s="13"/>
      <c r="F331">
        <v>63.5</v>
      </c>
      <c r="G331">
        <v>0.8</v>
      </c>
      <c r="H331">
        <v>11.8</v>
      </c>
      <c r="I331">
        <f t="shared" si="22"/>
        <v>11.544</v>
      </c>
      <c r="J331">
        <v>105</v>
      </c>
      <c r="M331">
        <f t="shared" si="20"/>
        <v>8.4387602015761107E-2</v>
      </c>
      <c r="N331">
        <f t="shared" si="21"/>
        <v>8.6625086625086625E-2</v>
      </c>
    </row>
    <row r="332" spans="2:14" x14ac:dyDescent="0.25">
      <c r="B332" s="13"/>
      <c r="C332">
        <v>400</v>
      </c>
      <c r="D332" s="13"/>
      <c r="E332" s="13"/>
      <c r="F332">
        <v>63.5</v>
      </c>
      <c r="G332">
        <v>3.75</v>
      </c>
      <c r="H332">
        <v>55.5</v>
      </c>
      <c r="I332">
        <f t="shared" si="22"/>
        <v>49.875</v>
      </c>
      <c r="J332">
        <v>300</v>
      </c>
      <c r="M332">
        <f t="shared" si="20"/>
        <v>1.7473532518039528E-2</v>
      </c>
      <c r="N332">
        <f t="shared" si="21"/>
        <v>2.0050125313283207E-2</v>
      </c>
    </row>
    <row r="333" spans="2:14" x14ac:dyDescent="0.25">
      <c r="B333" s="13"/>
      <c r="C333">
        <v>400</v>
      </c>
      <c r="D333" s="13" t="s">
        <v>25</v>
      </c>
      <c r="E333" s="13" t="s">
        <v>39</v>
      </c>
      <c r="F333">
        <v>76.2</v>
      </c>
      <c r="G333">
        <v>0.8</v>
      </c>
      <c r="H333">
        <v>11.8</v>
      </c>
      <c r="I333">
        <f t="shared" si="22"/>
        <v>11.544</v>
      </c>
      <c r="J333">
        <v>89</v>
      </c>
      <c r="M333">
        <f t="shared" si="20"/>
        <v>0.12976537637035909</v>
      </c>
      <c r="N333">
        <f t="shared" si="21"/>
        <v>8.6625086625086625E-2</v>
      </c>
    </row>
    <row r="334" spans="2:14" x14ac:dyDescent="0.25">
      <c r="B334" s="13"/>
      <c r="C334">
        <v>400</v>
      </c>
      <c r="D334" s="13"/>
      <c r="E334" s="13"/>
      <c r="F334">
        <v>76.2</v>
      </c>
      <c r="G334">
        <v>4</v>
      </c>
      <c r="H334">
        <v>59.2</v>
      </c>
      <c r="I334">
        <f t="shared" si="22"/>
        <v>52.800000000000004</v>
      </c>
      <c r="J334">
        <v>259</v>
      </c>
      <c r="M334">
        <f t="shared" si="20"/>
        <v>2.6139314527970949E-2</v>
      </c>
      <c r="N334">
        <f t="shared" si="21"/>
        <v>1.8939393939393936E-2</v>
      </c>
    </row>
    <row r="335" spans="2:14" x14ac:dyDescent="0.25">
      <c r="B335" s="13"/>
      <c r="C335">
        <v>400</v>
      </c>
      <c r="D335" s="13" t="s">
        <v>38</v>
      </c>
      <c r="E335" s="13"/>
      <c r="F335">
        <v>76.2</v>
      </c>
      <c r="G335">
        <v>1.2</v>
      </c>
      <c r="H335">
        <v>26.6</v>
      </c>
      <c r="I335">
        <f t="shared" si="22"/>
        <v>26.024000000000001</v>
      </c>
      <c r="J335">
        <v>140</v>
      </c>
      <c r="M335">
        <f t="shared" si="20"/>
        <v>6.5773626399089999E-2</v>
      </c>
      <c r="N335">
        <f t="shared" si="21"/>
        <v>3.8426068244697201E-2</v>
      </c>
    </row>
    <row r="336" spans="2:14" x14ac:dyDescent="0.25">
      <c r="B336" s="13"/>
      <c r="C336">
        <v>400</v>
      </c>
      <c r="D336" s="13"/>
      <c r="E336" s="13"/>
      <c r="F336">
        <v>76.2</v>
      </c>
      <c r="G336">
        <v>6.3</v>
      </c>
      <c r="H336">
        <v>139.9</v>
      </c>
      <c r="I336">
        <f t="shared" si="22"/>
        <v>124.024</v>
      </c>
      <c r="J336">
        <v>389</v>
      </c>
      <c r="M336">
        <f t="shared" si="20"/>
        <v>1.4201016717477366E-2</v>
      </c>
      <c r="N336">
        <f t="shared" si="21"/>
        <v>8.062955556988969E-3</v>
      </c>
    </row>
    <row r="337" spans="1:14" x14ac:dyDescent="0.25">
      <c r="B337" s="13"/>
      <c r="C337">
        <v>400</v>
      </c>
      <c r="D337" s="13" t="s">
        <v>25</v>
      </c>
      <c r="E337" s="13" t="s">
        <v>152</v>
      </c>
      <c r="F337">
        <v>76.2</v>
      </c>
      <c r="G337">
        <v>0.75</v>
      </c>
      <c r="H337">
        <v>11.1</v>
      </c>
      <c r="I337">
        <f t="shared" si="22"/>
        <v>10.875</v>
      </c>
      <c r="J337">
        <v>106</v>
      </c>
      <c r="M337">
        <f t="shared" si="20"/>
        <v>9.9835510446391329E-2</v>
      </c>
      <c r="N337">
        <f t="shared" si="21"/>
        <v>9.1954022988505746E-2</v>
      </c>
    </row>
    <row r="338" spans="1:14" x14ac:dyDescent="0.25">
      <c r="B338" s="13"/>
      <c r="C338">
        <v>400</v>
      </c>
      <c r="D338" s="13"/>
      <c r="E338" s="13"/>
      <c r="F338">
        <v>76.2</v>
      </c>
      <c r="G338">
        <v>4.3</v>
      </c>
      <c r="H338">
        <v>63.6</v>
      </c>
      <c r="I338">
        <f t="shared" si="22"/>
        <v>56.204000000000001</v>
      </c>
      <c r="J338">
        <v>279</v>
      </c>
      <c r="M338">
        <f t="shared" si="20"/>
        <v>2.337962471936552E-2</v>
      </c>
      <c r="N338">
        <f t="shared" si="21"/>
        <v>1.7792327948188739E-2</v>
      </c>
    </row>
    <row r="339" spans="1:14" x14ac:dyDescent="0.25">
      <c r="B339" s="13"/>
      <c r="C339">
        <v>400</v>
      </c>
      <c r="D339" s="13" t="s">
        <v>38</v>
      </c>
      <c r="E339" s="13"/>
      <c r="F339">
        <v>76.2</v>
      </c>
      <c r="G339">
        <v>1.45</v>
      </c>
      <c r="H339">
        <v>32.200000000000003</v>
      </c>
      <c r="I339">
        <f t="shared" si="22"/>
        <v>31.359000000000002</v>
      </c>
      <c r="J339">
        <v>161</v>
      </c>
      <c r="M339">
        <f t="shared" si="20"/>
        <v>5.3334106845698684E-2</v>
      </c>
      <c r="N339">
        <f t="shared" si="21"/>
        <v>3.1888771963391689E-2</v>
      </c>
    </row>
    <row r="340" spans="1:14" x14ac:dyDescent="0.25">
      <c r="B340" s="13"/>
      <c r="C340">
        <v>400</v>
      </c>
      <c r="D340" s="13"/>
      <c r="E340" s="13"/>
      <c r="F340">
        <v>76.2</v>
      </c>
      <c r="G340">
        <v>6.9</v>
      </c>
      <c r="H340">
        <v>153.19999999999999</v>
      </c>
      <c r="I340">
        <f t="shared" si="22"/>
        <v>134.15599999999998</v>
      </c>
      <c r="J340">
        <v>405</v>
      </c>
      <c r="M340">
        <f t="shared" si="20"/>
        <v>1.3367842062573984E-2</v>
      </c>
      <c r="N340">
        <f t="shared" si="21"/>
        <v>7.4540087659143101E-3</v>
      </c>
    </row>
    <row r="341" spans="1:14" x14ac:dyDescent="0.25">
      <c r="B341" s="13"/>
      <c r="C341">
        <v>400</v>
      </c>
      <c r="D341" s="13" t="s">
        <v>25</v>
      </c>
      <c r="E341" s="13" t="s">
        <v>153</v>
      </c>
      <c r="F341">
        <v>101.6</v>
      </c>
      <c r="G341">
        <v>0.85</v>
      </c>
      <c r="H341">
        <v>12.6</v>
      </c>
      <c r="I341">
        <f t="shared" si="22"/>
        <v>12.311</v>
      </c>
      <c r="J341">
        <v>128</v>
      </c>
      <c r="M341">
        <f t="shared" si="20"/>
        <v>0.10031540314013937</v>
      </c>
      <c r="N341">
        <f t="shared" si="21"/>
        <v>8.122816992933149E-2</v>
      </c>
    </row>
    <row r="342" spans="1:14" x14ac:dyDescent="0.25">
      <c r="B342" s="13"/>
      <c r="C342">
        <v>400</v>
      </c>
      <c r="D342" s="13"/>
      <c r="E342" s="13"/>
      <c r="F342">
        <v>101.6</v>
      </c>
      <c r="G342">
        <v>5</v>
      </c>
      <c r="H342">
        <v>74</v>
      </c>
      <c r="I342">
        <f t="shared" ref="I342:I371" si="25">H342-G342^2*C342/1000</f>
        <v>64</v>
      </c>
      <c r="J342">
        <v>351</v>
      </c>
      <c r="M342">
        <f t="shared" si="20"/>
        <v>2.2091332003428939E-2</v>
      </c>
      <c r="N342">
        <f t="shared" si="21"/>
        <v>1.5625E-2</v>
      </c>
    </row>
    <row r="343" spans="1:14" s="6" customFormat="1" x14ac:dyDescent="0.25">
      <c r="A343" s="6">
        <v>1404</v>
      </c>
      <c r="B343" s="16" t="s">
        <v>49</v>
      </c>
      <c r="C343" s="6">
        <v>142</v>
      </c>
      <c r="D343" s="6">
        <v>16</v>
      </c>
      <c r="E343" s="16" t="s">
        <v>147</v>
      </c>
      <c r="F343" s="6">
        <v>101.6</v>
      </c>
      <c r="G343" s="6">
        <v>0.7</v>
      </c>
      <c r="H343" s="6">
        <f>D343*G343</f>
        <v>11.2</v>
      </c>
      <c r="I343" s="6">
        <f t="shared" si="25"/>
        <v>11.130419999999999</v>
      </c>
      <c r="J343" s="6">
        <v>39</v>
      </c>
      <c r="M343" s="6">
        <f t="shared" si="20"/>
        <v>0.59646596409258146</v>
      </c>
      <c r="N343" s="6">
        <f t="shared" si="21"/>
        <v>8.984386932388895E-2</v>
      </c>
    </row>
    <row r="344" spans="1:14" s="6" customFormat="1" x14ac:dyDescent="0.25">
      <c r="A344" s="6" t="s">
        <v>50</v>
      </c>
      <c r="B344" s="16"/>
      <c r="C344" s="6">
        <v>142</v>
      </c>
      <c r="D344" s="6">
        <v>16</v>
      </c>
      <c r="E344" s="16"/>
      <c r="F344" s="6">
        <v>101.6</v>
      </c>
      <c r="G344" s="6">
        <v>1.5</v>
      </c>
      <c r="H344" s="6">
        <f t="shared" ref="H344:H362" si="26">D344*G344</f>
        <v>24</v>
      </c>
      <c r="I344" s="6">
        <f t="shared" si="25"/>
        <v>23.680499999999999</v>
      </c>
      <c r="J344" s="6">
        <v>73</v>
      </c>
      <c r="M344" s="6">
        <f t="shared" si="20"/>
        <v>0.23291544437493428</v>
      </c>
      <c r="N344" s="6">
        <f t="shared" si="21"/>
        <v>4.222883807352041E-2</v>
      </c>
    </row>
    <row r="345" spans="1:14" s="6" customFormat="1" x14ac:dyDescent="0.25">
      <c r="A345" s="6" t="s">
        <v>146</v>
      </c>
      <c r="B345" s="16"/>
      <c r="C345" s="6">
        <v>142</v>
      </c>
      <c r="D345" s="6">
        <v>16</v>
      </c>
      <c r="E345" s="16"/>
      <c r="F345" s="6">
        <v>101.6</v>
      </c>
      <c r="G345" s="6">
        <v>2.8</v>
      </c>
      <c r="H345" s="6">
        <f t="shared" si="26"/>
        <v>44.8</v>
      </c>
      <c r="I345" s="6">
        <f t="shared" si="25"/>
        <v>43.686719999999994</v>
      </c>
      <c r="J345" s="6">
        <v>124</v>
      </c>
      <c r="M345" s="6">
        <f t="shared" si="20"/>
        <v>0.10520831123714484</v>
      </c>
      <c r="N345" s="6">
        <f t="shared" si="21"/>
        <v>2.2890251316647257E-2</v>
      </c>
    </row>
    <row r="346" spans="1:14" s="6" customFormat="1" x14ac:dyDescent="0.25">
      <c r="B346" s="16"/>
      <c r="C346" s="6">
        <v>142</v>
      </c>
      <c r="D346" s="6">
        <v>16</v>
      </c>
      <c r="E346" s="16"/>
      <c r="F346" s="6">
        <v>101.6</v>
      </c>
      <c r="G346" s="6">
        <v>4.5999999999999996</v>
      </c>
      <c r="H346" s="6">
        <f t="shared" si="26"/>
        <v>73.599999999999994</v>
      </c>
      <c r="I346" s="6">
        <f t="shared" si="25"/>
        <v>70.595279999999988</v>
      </c>
      <c r="J346" s="6">
        <v>178</v>
      </c>
      <c r="M346" s="6">
        <f>1/(((2/PI()/1.225)^(1/2))/F346*1000*((J346/1000*9.8)^(3/2)))</f>
        <v>6.1171985063136987E-2</v>
      </c>
      <c r="N346" s="6">
        <f>1/I346</f>
        <v>1.4165252974419822E-2</v>
      </c>
    </row>
    <row r="347" spans="1:14" s="6" customFormat="1" x14ac:dyDescent="0.25">
      <c r="A347" s="6" t="s">
        <v>162</v>
      </c>
      <c r="B347" s="16"/>
      <c r="C347" s="6">
        <v>142</v>
      </c>
      <c r="D347" s="6">
        <v>16</v>
      </c>
      <c r="E347" s="16"/>
      <c r="F347" s="6">
        <v>101.6</v>
      </c>
      <c r="G347" s="6">
        <v>6.5</v>
      </c>
      <c r="H347" s="6">
        <f t="shared" si="26"/>
        <v>104</v>
      </c>
      <c r="I347" s="6">
        <f t="shared" si="25"/>
        <v>98.000500000000002</v>
      </c>
      <c r="J347" s="6">
        <v>213</v>
      </c>
      <c r="M347" s="6">
        <f>1/(((2/PI()/1.225)^(1/2))/F347*1000*((J347/1000*9.8)^(3/2)))</f>
        <v>4.6731871315522616E-2</v>
      </c>
      <c r="N347" s="6">
        <f t="shared" si="21"/>
        <v>1.0204029571277697E-2</v>
      </c>
    </row>
    <row r="348" spans="1:14" s="6" customFormat="1" x14ac:dyDescent="0.25">
      <c r="A348" s="6" t="s">
        <v>163</v>
      </c>
      <c r="B348" s="16"/>
      <c r="C348" s="6">
        <v>142</v>
      </c>
      <c r="D348" s="6">
        <v>16</v>
      </c>
      <c r="E348" s="16"/>
      <c r="F348" s="6">
        <v>101.6</v>
      </c>
      <c r="G348" s="6">
        <v>7.8</v>
      </c>
      <c r="H348" s="6">
        <f t="shared" si="26"/>
        <v>124.8</v>
      </c>
      <c r="I348" s="6">
        <f t="shared" si="25"/>
        <v>116.16072</v>
      </c>
      <c r="J348" s="6">
        <v>248</v>
      </c>
      <c r="M348" s="6">
        <f t="shared" si="20"/>
        <v>3.7196755156484983E-2</v>
      </c>
      <c r="N348" s="6">
        <f t="shared" si="21"/>
        <v>8.6087620669017886E-3</v>
      </c>
    </row>
    <row r="349" spans="1:14" s="6" customFormat="1" x14ac:dyDescent="0.25">
      <c r="B349" s="16"/>
      <c r="C349" s="6">
        <v>142</v>
      </c>
      <c r="D349" s="6">
        <v>16</v>
      </c>
      <c r="E349" s="16"/>
      <c r="F349" s="6">
        <v>101.6</v>
      </c>
      <c r="G349" s="6">
        <v>9.4</v>
      </c>
      <c r="H349" s="6">
        <f t="shared" si="26"/>
        <v>150.4</v>
      </c>
      <c r="I349" s="6">
        <f t="shared" si="25"/>
        <v>137.85288</v>
      </c>
      <c r="J349" s="6">
        <v>296</v>
      </c>
      <c r="M349" s="6">
        <f t="shared" si="20"/>
        <v>2.8526271459230392E-2</v>
      </c>
      <c r="N349" s="6">
        <f t="shared" si="21"/>
        <v>7.2541103239917807E-3</v>
      </c>
    </row>
    <row r="350" spans="1:14" s="6" customFormat="1" x14ac:dyDescent="0.25">
      <c r="B350" s="16"/>
      <c r="C350" s="6">
        <v>142</v>
      </c>
      <c r="D350" s="6">
        <v>16</v>
      </c>
      <c r="E350" s="16"/>
      <c r="F350" s="6">
        <v>101.6</v>
      </c>
      <c r="G350" s="6">
        <v>11.1</v>
      </c>
      <c r="H350" s="6">
        <f t="shared" si="26"/>
        <v>177.6</v>
      </c>
      <c r="I350" s="6">
        <f t="shared" si="25"/>
        <v>160.10417999999999</v>
      </c>
      <c r="J350" s="6">
        <v>324</v>
      </c>
      <c r="M350" s="6">
        <f t="shared" si="20"/>
        <v>2.4909502970330368E-2</v>
      </c>
      <c r="N350" s="6">
        <f t="shared" si="21"/>
        <v>6.2459331167993249E-3</v>
      </c>
    </row>
    <row r="351" spans="1:14" s="6" customFormat="1" x14ac:dyDescent="0.25">
      <c r="B351" s="16"/>
      <c r="C351" s="6">
        <v>142</v>
      </c>
      <c r="D351" s="6">
        <v>16</v>
      </c>
      <c r="E351" s="16"/>
      <c r="F351" s="6">
        <v>101.6</v>
      </c>
      <c r="G351" s="6">
        <v>13.2</v>
      </c>
      <c r="H351" s="6">
        <f t="shared" si="26"/>
        <v>211.2</v>
      </c>
      <c r="I351" s="6">
        <f t="shared" si="25"/>
        <v>186.45792</v>
      </c>
      <c r="J351" s="6">
        <v>367</v>
      </c>
      <c r="M351" s="6">
        <f t="shared" si="20"/>
        <v>2.0662529227475548E-2</v>
      </c>
      <c r="N351" s="6">
        <f t="shared" si="21"/>
        <v>5.363140380413983E-3</v>
      </c>
    </row>
    <row r="352" spans="1:14" s="6" customFormat="1" x14ac:dyDescent="0.25">
      <c r="B352" s="16"/>
      <c r="C352" s="6">
        <v>142</v>
      </c>
      <c r="D352" s="6">
        <v>16</v>
      </c>
      <c r="E352" s="16"/>
      <c r="F352" s="6">
        <v>101.6</v>
      </c>
      <c r="G352" s="6">
        <v>15</v>
      </c>
      <c r="H352" s="6">
        <f t="shared" si="26"/>
        <v>240</v>
      </c>
      <c r="I352" s="6">
        <f t="shared" si="25"/>
        <v>208.05</v>
      </c>
      <c r="J352" s="6">
        <v>398</v>
      </c>
      <c r="M352" s="6">
        <f t="shared" si="20"/>
        <v>1.8296076570726658E-2</v>
      </c>
      <c r="N352" s="6">
        <f t="shared" si="21"/>
        <v>4.8065368901706318E-3</v>
      </c>
    </row>
    <row r="353" spans="1:14" s="6" customFormat="1" x14ac:dyDescent="0.25">
      <c r="B353" s="16" t="s">
        <v>37</v>
      </c>
      <c r="C353" s="6">
        <v>142</v>
      </c>
      <c r="D353" s="6">
        <v>16</v>
      </c>
      <c r="E353" s="16"/>
      <c r="F353" s="6">
        <v>101.6</v>
      </c>
      <c r="G353" s="6">
        <v>0.6</v>
      </c>
      <c r="H353" s="6">
        <f t="shared" si="26"/>
        <v>9.6</v>
      </c>
      <c r="I353" s="6">
        <f t="shared" si="25"/>
        <v>9.5488800000000005</v>
      </c>
      <c r="J353" s="6">
        <v>36</v>
      </c>
      <c r="M353" s="6">
        <f t="shared" si="20"/>
        <v>0.67255658019891995</v>
      </c>
      <c r="N353" s="6">
        <f t="shared" si="21"/>
        <v>0.1047243236903176</v>
      </c>
    </row>
    <row r="354" spans="1:14" s="6" customFormat="1" x14ac:dyDescent="0.25">
      <c r="B354" s="16"/>
      <c r="C354" s="6">
        <v>142</v>
      </c>
      <c r="D354" s="6">
        <v>16</v>
      </c>
      <c r="E354" s="16"/>
      <c r="F354" s="6">
        <v>101.6</v>
      </c>
      <c r="G354" s="6">
        <v>1.4</v>
      </c>
      <c r="H354" s="6">
        <f t="shared" si="26"/>
        <v>22.4</v>
      </c>
      <c r="I354" s="6">
        <f t="shared" si="25"/>
        <v>22.121679999999998</v>
      </c>
      <c r="J354" s="6">
        <v>75</v>
      </c>
      <c r="M354" s="6">
        <f t="shared" si="20"/>
        <v>0.22366121623090596</v>
      </c>
      <c r="N354" s="6">
        <f t="shared" si="21"/>
        <v>4.520452334542404E-2</v>
      </c>
    </row>
    <row r="355" spans="1:14" s="6" customFormat="1" x14ac:dyDescent="0.25">
      <c r="B355" s="16"/>
      <c r="C355" s="6">
        <v>142</v>
      </c>
      <c r="D355" s="6">
        <v>16</v>
      </c>
      <c r="E355" s="16"/>
      <c r="F355" s="6">
        <v>101.6</v>
      </c>
      <c r="G355" s="6">
        <v>2.5</v>
      </c>
      <c r="H355" s="6">
        <f t="shared" si="26"/>
        <v>40</v>
      </c>
      <c r="I355" s="6">
        <f t="shared" si="25"/>
        <v>39.112499999999997</v>
      </c>
      <c r="J355" s="6">
        <v>118</v>
      </c>
      <c r="M355" s="6">
        <f t="shared" si="20"/>
        <v>0.11333383019968704</v>
      </c>
      <c r="N355" s="6">
        <f t="shared" si="21"/>
        <v>2.5567273889421541E-2</v>
      </c>
    </row>
    <row r="356" spans="1:14" s="6" customFormat="1" x14ac:dyDescent="0.25">
      <c r="B356" s="16"/>
      <c r="C356" s="6">
        <v>142</v>
      </c>
      <c r="D356" s="6">
        <v>16</v>
      </c>
      <c r="E356" s="16"/>
      <c r="F356" s="6">
        <v>101.6</v>
      </c>
      <c r="G356" s="6">
        <v>4.2</v>
      </c>
      <c r="H356" s="6">
        <f t="shared" si="26"/>
        <v>67.2</v>
      </c>
      <c r="I356" s="6">
        <f t="shared" si="25"/>
        <v>64.695120000000003</v>
      </c>
      <c r="J356" s="6">
        <v>169</v>
      </c>
      <c r="M356" s="6">
        <f t="shared" si="20"/>
        <v>6.6122995595342141E-2</v>
      </c>
      <c r="N356" s="6">
        <f t="shared" si="21"/>
        <v>1.545711639455959E-2</v>
      </c>
    </row>
    <row r="357" spans="1:14" s="6" customFormat="1" x14ac:dyDescent="0.25">
      <c r="B357" s="16"/>
      <c r="C357" s="6">
        <v>142</v>
      </c>
      <c r="D357" s="6">
        <v>16</v>
      </c>
      <c r="E357" s="16"/>
      <c r="F357" s="6">
        <v>101.6</v>
      </c>
      <c r="G357" s="6">
        <v>5.8</v>
      </c>
      <c r="H357" s="6">
        <f t="shared" si="26"/>
        <v>92.8</v>
      </c>
      <c r="I357" s="6">
        <f t="shared" si="25"/>
        <v>88.023119999999992</v>
      </c>
      <c r="J357" s="6">
        <v>205</v>
      </c>
      <c r="M357" s="6">
        <f t="shared" si="20"/>
        <v>4.9493912441806474E-2</v>
      </c>
      <c r="N357" s="6">
        <f t="shared" si="21"/>
        <v>1.13606516106223E-2</v>
      </c>
    </row>
    <row r="358" spans="1:14" s="6" customFormat="1" x14ac:dyDescent="0.25">
      <c r="B358" s="16"/>
      <c r="C358" s="6">
        <v>142</v>
      </c>
      <c r="D358" s="6">
        <v>16</v>
      </c>
      <c r="E358" s="16"/>
      <c r="F358" s="6">
        <v>101.6</v>
      </c>
      <c r="G358" s="6">
        <v>7.4</v>
      </c>
      <c r="H358" s="6">
        <f t="shared" si="26"/>
        <v>118.4</v>
      </c>
      <c r="I358" s="6">
        <f t="shared" si="25"/>
        <v>110.62408000000001</v>
      </c>
      <c r="J358" s="6">
        <v>236</v>
      </c>
      <c r="M358" s="6">
        <f t="shared" si="20"/>
        <v>4.0069559936021723E-2</v>
      </c>
      <c r="N358" s="6">
        <f t="shared" si="21"/>
        <v>9.0396231995782464E-3</v>
      </c>
    </row>
    <row r="359" spans="1:14" s="6" customFormat="1" x14ac:dyDescent="0.25">
      <c r="B359" s="16"/>
      <c r="C359" s="6">
        <v>142</v>
      </c>
      <c r="D359" s="6">
        <v>16</v>
      </c>
      <c r="E359" s="16"/>
      <c r="F359" s="6">
        <v>101.6</v>
      </c>
      <c r="G359" s="6">
        <v>9.1999999999999993</v>
      </c>
      <c r="H359" s="6">
        <f t="shared" si="26"/>
        <v>147.19999999999999</v>
      </c>
      <c r="I359" s="6">
        <f t="shared" si="25"/>
        <v>135.18111999999999</v>
      </c>
      <c r="J359" s="6">
        <v>281</v>
      </c>
      <c r="M359" s="6">
        <f t="shared" si="20"/>
        <v>3.0840619799253823E-2</v>
      </c>
      <c r="N359" s="6">
        <f t="shared" si="21"/>
        <v>7.3974827253983398E-3</v>
      </c>
    </row>
    <row r="360" spans="1:14" s="6" customFormat="1" x14ac:dyDescent="0.25">
      <c r="B360" s="16"/>
      <c r="C360" s="6">
        <v>142</v>
      </c>
      <c r="D360" s="6">
        <v>16</v>
      </c>
      <c r="E360" s="16"/>
      <c r="F360" s="6">
        <v>101.6</v>
      </c>
      <c r="G360" s="6">
        <v>10.6</v>
      </c>
      <c r="H360" s="6">
        <f t="shared" si="26"/>
        <v>169.6</v>
      </c>
      <c r="I360" s="6">
        <f t="shared" si="25"/>
        <v>153.64488</v>
      </c>
      <c r="J360" s="6">
        <v>307</v>
      </c>
      <c r="M360" s="6">
        <f t="shared" si="20"/>
        <v>2.7006917269674365E-2</v>
      </c>
      <c r="N360" s="6">
        <f t="shared" si="21"/>
        <v>6.5085149599518055E-3</v>
      </c>
    </row>
    <row r="361" spans="1:14" s="6" customFormat="1" x14ac:dyDescent="0.25">
      <c r="B361" s="16"/>
      <c r="C361" s="6">
        <v>142</v>
      </c>
      <c r="D361" s="6">
        <v>16</v>
      </c>
      <c r="E361" s="16"/>
      <c r="F361" s="6">
        <v>101.6</v>
      </c>
      <c r="G361" s="6">
        <v>12.5</v>
      </c>
      <c r="H361" s="6">
        <f t="shared" si="26"/>
        <v>200</v>
      </c>
      <c r="I361" s="6">
        <f t="shared" si="25"/>
        <v>177.8125</v>
      </c>
      <c r="J361" s="6">
        <v>352</v>
      </c>
      <c r="M361" s="6">
        <f t="shared" si="20"/>
        <v>2.1997259696468239E-2</v>
      </c>
      <c r="N361" s="6">
        <f t="shared" si="21"/>
        <v>5.6239015817223202E-3</v>
      </c>
    </row>
    <row r="362" spans="1:14" s="6" customFormat="1" x14ac:dyDescent="0.25">
      <c r="B362" s="16"/>
      <c r="C362" s="6">
        <v>142</v>
      </c>
      <c r="D362" s="6">
        <v>16</v>
      </c>
      <c r="E362" s="16"/>
      <c r="F362" s="6">
        <v>101.6</v>
      </c>
      <c r="G362" s="6">
        <v>14.2</v>
      </c>
      <c r="H362" s="6">
        <f t="shared" si="26"/>
        <v>227.2</v>
      </c>
      <c r="I362" s="6">
        <f t="shared" si="25"/>
        <v>198.56711999999999</v>
      </c>
      <c r="J362" s="6">
        <v>379</v>
      </c>
      <c r="M362" s="6">
        <f t="shared" si="20"/>
        <v>1.9689004685244916E-2</v>
      </c>
      <c r="N362" s="6">
        <f t="shared" si="21"/>
        <v>5.0360804950990885E-3</v>
      </c>
    </row>
    <row r="363" spans="1:14" x14ac:dyDescent="0.25">
      <c r="A363">
        <v>1404</v>
      </c>
      <c r="B363" s="13" t="s">
        <v>49</v>
      </c>
      <c r="D363" s="2"/>
      <c r="E363" s="2"/>
      <c r="G363" s="2"/>
      <c r="H363" s="2"/>
      <c r="I363">
        <f t="shared" si="25"/>
        <v>0</v>
      </c>
      <c r="J363">
        <v>254</v>
      </c>
      <c r="M363" t="e">
        <f t="shared" si="20"/>
        <v>#DIV/0!</v>
      </c>
      <c r="N363" t="e">
        <f t="shared" si="21"/>
        <v>#DIV/0!</v>
      </c>
    </row>
    <row r="364" spans="1:14" x14ac:dyDescent="0.25">
      <c r="A364" t="s">
        <v>51</v>
      </c>
      <c r="B364" s="13"/>
      <c r="D364" s="2"/>
      <c r="E364" s="2"/>
      <c r="G364" s="2"/>
      <c r="H364" s="2"/>
      <c r="I364">
        <f t="shared" si="25"/>
        <v>0</v>
      </c>
      <c r="J364">
        <v>382</v>
      </c>
      <c r="M364" t="e">
        <f t="shared" si="20"/>
        <v>#DIV/0!</v>
      </c>
      <c r="N364" t="e">
        <f t="shared" si="21"/>
        <v>#DIV/0!</v>
      </c>
    </row>
    <row r="365" spans="1:14" x14ac:dyDescent="0.25">
      <c r="B365" s="13"/>
      <c r="D365" s="2"/>
      <c r="E365" s="2"/>
      <c r="G365" s="2"/>
      <c r="H365" s="2"/>
      <c r="I365">
        <f t="shared" si="25"/>
        <v>0</v>
      </c>
      <c r="J365">
        <v>452</v>
      </c>
      <c r="M365" t="e">
        <f t="shared" si="20"/>
        <v>#DIV/0!</v>
      </c>
      <c r="N365" t="e">
        <f t="shared" si="21"/>
        <v>#DIV/0!</v>
      </c>
    </row>
    <row r="366" spans="1:14" x14ac:dyDescent="0.25">
      <c r="B366" s="13"/>
      <c r="D366" s="2"/>
      <c r="E366" s="2"/>
      <c r="G366" s="2"/>
      <c r="H366" s="2"/>
      <c r="I366">
        <f t="shared" si="25"/>
        <v>0</v>
      </c>
      <c r="J366">
        <v>491</v>
      </c>
      <c r="M366" t="e">
        <f t="shared" si="20"/>
        <v>#DIV/0!</v>
      </c>
      <c r="N366" t="e">
        <f t="shared" si="21"/>
        <v>#DIV/0!</v>
      </c>
    </row>
    <row r="367" spans="1:14" x14ac:dyDescent="0.25">
      <c r="B367" s="13"/>
      <c r="D367" s="2"/>
      <c r="E367" s="2"/>
      <c r="G367" s="2"/>
      <c r="H367" s="2"/>
      <c r="I367">
        <f t="shared" si="25"/>
        <v>0</v>
      </c>
      <c r="J367">
        <v>539</v>
      </c>
      <c r="M367" t="e">
        <f t="shared" si="20"/>
        <v>#DIV/0!</v>
      </c>
      <c r="N367" t="e">
        <f t="shared" si="21"/>
        <v>#DIV/0!</v>
      </c>
    </row>
    <row r="368" spans="1:14" x14ac:dyDescent="0.25">
      <c r="B368" s="13"/>
      <c r="D368" s="2"/>
      <c r="E368" s="2"/>
      <c r="G368" s="2"/>
      <c r="H368" s="2"/>
      <c r="I368">
        <f t="shared" si="25"/>
        <v>0</v>
      </c>
      <c r="J368">
        <v>574</v>
      </c>
      <c r="M368" t="e">
        <f t="shared" si="20"/>
        <v>#DIV/0!</v>
      </c>
      <c r="N368" t="e">
        <f t="shared" si="21"/>
        <v>#DIV/0!</v>
      </c>
    </row>
    <row r="369" spans="2:14" x14ac:dyDescent="0.25">
      <c r="B369" s="13" t="s">
        <v>37</v>
      </c>
      <c r="D369" s="2"/>
      <c r="E369" s="2"/>
      <c r="G369" s="2"/>
      <c r="H369" s="2"/>
      <c r="I369">
        <f t="shared" si="25"/>
        <v>0</v>
      </c>
      <c r="J369">
        <v>158.01</v>
      </c>
      <c r="M369" t="e">
        <f t="shared" ref="M369:M407" si="27">1/(((2/PI()/1.225)^(1/2))/F369*1000*((J369/1000*9.8)^(3/2)))</f>
        <v>#DIV/0!</v>
      </c>
      <c r="N369" t="e">
        <f t="shared" ref="N369:N407" si="28">1/I369</f>
        <v>#DIV/0!</v>
      </c>
    </row>
    <row r="370" spans="2:14" x14ac:dyDescent="0.25">
      <c r="B370" s="13"/>
      <c r="D370" s="2"/>
      <c r="E370" s="2"/>
      <c r="G370" s="2"/>
      <c r="H370" s="2"/>
      <c r="I370">
        <f t="shared" si="25"/>
        <v>0</v>
      </c>
      <c r="J370">
        <v>184.56</v>
      </c>
      <c r="M370" t="e">
        <f t="shared" si="27"/>
        <v>#DIV/0!</v>
      </c>
      <c r="N370" t="e">
        <f t="shared" si="28"/>
        <v>#DIV/0!</v>
      </c>
    </row>
    <row r="371" spans="2:14" x14ac:dyDescent="0.25">
      <c r="B371" s="13"/>
      <c r="D371" s="2"/>
      <c r="E371" s="2"/>
      <c r="G371" s="2"/>
      <c r="H371" s="2"/>
      <c r="I371">
        <f t="shared" si="25"/>
        <v>0</v>
      </c>
      <c r="J371">
        <v>206.52</v>
      </c>
      <c r="M371" t="e">
        <f t="shared" si="27"/>
        <v>#DIV/0!</v>
      </c>
      <c r="N371" t="e">
        <f t="shared" si="28"/>
        <v>#DIV/0!</v>
      </c>
    </row>
    <row r="372" spans="2:14" x14ac:dyDescent="0.25">
      <c r="B372" s="13"/>
      <c r="D372" s="2"/>
      <c r="E372" s="2"/>
      <c r="G372" s="2"/>
      <c r="H372" s="2"/>
      <c r="I372" s="2"/>
      <c r="J372">
        <v>229.16</v>
      </c>
      <c r="M372" t="e">
        <f t="shared" si="27"/>
        <v>#DIV/0!</v>
      </c>
      <c r="N372" t="e">
        <f t="shared" si="28"/>
        <v>#DIV/0!</v>
      </c>
    </row>
    <row r="373" spans="2:14" x14ac:dyDescent="0.25">
      <c r="B373" s="13"/>
      <c r="D373" s="2"/>
      <c r="E373" s="2"/>
      <c r="G373" s="2"/>
      <c r="H373" s="2"/>
      <c r="I373" s="2"/>
      <c r="J373">
        <v>245.54</v>
      </c>
      <c r="M373" t="e">
        <f t="shared" si="27"/>
        <v>#DIV/0!</v>
      </c>
      <c r="N373" t="e">
        <f t="shared" si="28"/>
        <v>#DIV/0!</v>
      </c>
    </row>
    <row r="374" spans="2:14" x14ac:dyDescent="0.25">
      <c r="B374" s="13"/>
      <c r="D374" s="2"/>
      <c r="E374" s="2"/>
      <c r="G374" s="2"/>
      <c r="H374" s="2"/>
      <c r="I374" s="2"/>
      <c r="J374">
        <v>263.83999999999997</v>
      </c>
      <c r="M374" t="e">
        <f t="shared" si="27"/>
        <v>#DIV/0!</v>
      </c>
      <c r="N374" t="e">
        <f t="shared" si="28"/>
        <v>#DIV/0!</v>
      </c>
    </row>
    <row r="375" spans="2:14" x14ac:dyDescent="0.25">
      <c r="B375" s="13"/>
      <c r="D375" s="2"/>
      <c r="E375" s="2"/>
      <c r="G375" s="2"/>
      <c r="H375" s="2"/>
      <c r="I375" s="2"/>
      <c r="J375">
        <v>275.66000000000003</v>
      </c>
      <c r="M375" t="e">
        <f t="shared" si="27"/>
        <v>#DIV/0!</v>
      </c>
      <c r="N375" t="e">
        <f t="shared" si="28"/>
        <v>#DIV/0!</v>
      </c>
    </row>
    <row r="376" spans="2:14" x14ac:dyDescent="0.25">
      <c r="B376" s="13"/>
      <c r="D376" s="2"/>
      <c r="E376" s="2"/>
      <c r="G376" s="2"/>
      <c r="H376" s="2"/>
      <c r="I376" s="2"/>
      <c r="J376">
        <v>290.17</v>
      </c>
      <c r="M376" t="e">
        <f t="shared" si="27"/>
        <v>#DIV/0!</v>
      </c>
      <c r="N376" t="e">
        <f t="shared" si="28"/>
        <v>#DIV/0!</v>
      </c>
    </row>
    <row r="377" spans="2:14" x14ac:dyDescent="0.25">
      <c r="B377" s="13"/>
      <c r="D377" s="2"/>
      <c r="E377" s="2"/>
      <c r="G377" s="2"/>
      <c r="H377" s="2"/>
      <c r="I377" s="2"/>
      <c r="J377">
        <v>304.36</v>
      </c>
      <c r="M377" t="e">
        <f t="shared" si="27"/>
        <v>#DIV/0!</v>
      </c>
      <c r="N377" t="e">
        <f t="shared" si="28"/>
        <v>#DIV/0!</v>
      </c>
    </row>
    <row r="378" spans="2:14" x14ac:dyDescent="0.25">
      <c r="B378" s="13"/>
      <c r="D378" s="2"/>
      <c r="E378" s="2"/>
      <c r="G378" s="2"/>
      <c r="H378" s="2"/>
      <c r="I378" s="2"/>
      <c r="J378">
        <v>315.45</v>
      </c>
      <c r="M378" t="e">
        <f t="shared" si="27"/>
        <v>#DIV/0!</v>
      </c>
      <c r="N378" t="e">
        <f t="shared" si="28"/>
        <v>#DIV/0!</v>
      </c>
    </row>
    <row r="379" spans="2:14" x14ac:dyDescent="0.25">
      <c r="B379" s="13"/>
      <c r="D379" s="2"/>
      <c r="E379" s="2"/>
      <c r="G379" s="2"/>
      <c r="H379" s="2"/>
      <c r="I379" s="2"/>
      <c r="J379">
        <v>324.52</v>
      </c>
      <c r="M379" t="e">
        <f t="shared" si="27"/>
        <v>#DIV/0!</v>
      </c>
      <c r="N379" t="e">
        <f t="shared" si="28"/>
        <v>#DIV/0!</v>
      </c>
    </row>
    <row r="380" spans="2:14" x14ac:dyDescent="0.25">
      <c r="B380" s="13"/>
      <c r="D380" s="2"/>
      <c r="E380" s="2"/>
      <c r="G380" s="2"/>
      <c r="H380" s="2"/>
      <c r="I380" s="2"/>
      <c r="J380">
        <v>187.04</v>
      </c>
      <c r="M380" t="e">
        <f t="shared" si="27"/>
        <v>#DIV/0!</v>
      </c>
      <c r="N380" t="e">
        <f t="shared" si="28"/>
        <v>#DIV/0!</v>
      </c>
    </row>
    <row r="381" spans="2:14" x14ac:dyDescent="0.25">
      <c r="B381" s="13"/>
      <c r="D381" s="2"/>
      <c r="E381" s="2"/>
      <c r="G381" s="2"/>
      <c r="H381" s="2"/>
      <c r="I381" s="2"/>
      <c r="J381">
        <v>214.5</v>
      </c>
      <c r="M381" t="e">
        <f t="shared" si="27"/>
        <v>#DIV/0!</v>
      </c>
      <c r="N381" t="e">
        <f t="shared" si="28"/>
        <v>#DIV/0!</v>
      </c>
    </row>
    <row r="382" spans="2:14" x14ac:dyDescent="0.25">
      <c r="B382" s="13"/>
      <c r="D382" s="2"/>
      <c r="E382" s="2"/>
      <c r="G382" s="2"/>
      <c r="H382" s="2"/>
      <c r="I382" s="2"/>
      <c r="J382">
        <v>232.18</v>
      </c>
      <c r="M382" t="e">
        <f t="shared" si="27"/>
        <v>#DIV/0!</v>
      </c>
      <c r="N382" t="e">
        <f t="shared" si="28"/>
        <v>#DIV/0!</v>
      </c>
    </row>
    <row r="383" spans="2:14" x14ac:dyDescent="0.25">
      <c r="B383" s="13"/>
      <c r="D383" s="2"/>
      <c r="E383" s="2"/>
      <c r="G383" s="2"/>
      <c r="H383" s="2"/>
      <c r="I383" s="2"/>
      <c r="J383">
        <v>248.93</v>
      </c>
      <c r="M383" t="e">
        <f t="shared" si="27"/>
        <v>#DIV/0!</v>
      </c>
      <c r="N383" t="e">
        <f t="shared" si="28"/>
        <v>#DIV/0!</v>
      </c>
    </row>
    <row r="384" spans="2:14" x14ac:dyDescent="0.25">
      <c r="B384" s="13"/>
      <c r="D384" s="2"/>
      <c r="E384" s="2"/>
      <c r="G384" s="2"/>
      <c r="H384" s="2"/>
      <c r="I384" s="2"/>
      <c r="J384">
        <v>259.14</v>
      </c>
      <c r="M384" t="e">
        <f t="shared" si="27"/>
        <v>#DIV/0!</v>
      </c>
      <c r="N384" t="e">
        <f t="shared" si="28"/>
        <v>#DIV/0!</v>
      </c>
    </row>
    <row r="385" spans="1:14" x14ac:dyDescent="0.25">
      <c r="B385" s="13"/>
      <c r="D385" s="2"/>
      <c r="E385" s="2"/>
      <c r="G385" s="2"/>
      <c r="H385" s="2"/>
      <c r="I385" s="2"/>
      <c r="J385">
        <v>269.45999999999998</v>
      </c>
      <c r="M385" t="e">
        <f t="shared" si="27"/>
        <v>#DIV/0!</v>
      </c>
      <c r="N385" t="e">
        <f t="shared" si="28"/>
        <v>#DIV/0!</v>
      </c>
    </row>
    <row r="386" spans="1:14" x14ac:dyDescent="0.25">
      <c r="B386" s="13"/>
      <c r="D386" s="2"/>
      <c r="E386" s="2"/>
      <c r="G386" s="2"/>
      <c r="H386" s="2"/>
      <c r="I386" s="2"/>
      <c r="J386">
        <v>278.38</v>
      </c>
      <c r="M386" t="e">
        <f t="shared" si="27"/>
        <v>#DIV/0!</v>
      </c>
      <c r="N386" t="e">
        <f t="shared" si="28"/>
        <v>#DIV/0!</v>
      </c>
    </row>
    <row r="387" spans="1:14" x14ac:dyDescent="0.25">
      <c r="B387" s="13"/>
      <c r="D387" s="2"/>
      <c r="E387" s="2"/>
      <c r="G387" s="2"/>
      <c r="H387" s="2"/>
      <c r="I387" s="2"/>
      <c r="J387">
        <v>282.22000000000003</v>
      </c>
      <c r="M387" t="e">
        <f t="shared" si="27"/>
        <v>#DIV/0!</v>
      </c>
      <c r="N387" t="e">
        <f t="shared" si="28"/>
        <v>#DIV/0!</v>
      </c>
    </row>
    <row r="388" spans="1:14" x14ac:dyDescent="0.25">
      <c r="B388" s="13"/>
      <c r="D388" s="2"/>
      <c r="E388" s="2"/>
      <c r="G388" s="2"/>
      <c r="H388" s="2"/>
      <c r="I388" s="2"/>
      <c r="J388">
        <v>291.97000000000003</v>
      </c>
      <c r="M388" t="e">
        <f t="shared" si="27"/>
        <v>#DIV/0!</v>
      </c>
      <c r="N388" t="e">
        <f t="shared" si="28"/>
        <v>#DIV/0!</v>
      </c>
    </row>
    <row r="389" spans="1:14" x14ac:dyDescent="0.25">
      <c r="B389" s="13"/>
      <c r="D389" s="2"/>
      <c r="E389" s="2"/>
      <c r="G389" s="2"/>
      <c r="H389" s="2"/>
      <c r="I389" s="2"/>
      <c r="J389">
        <v>294.61</v>
      </c>
      <c r="M389" t="e">
        <f t="shared" si="27"/>
        <v>#DIV/0!</v>
      </c>
      <c r="N389" t="e">
        <f t="shared" si="28"/>
        <v>#DIV/0!</v>
      </c>
    </row>
    <row r="390" spans="1:14" x14ac:dyDescent="0.25">
      <c r="B390" s="13"/>
      <c r="D390" s="2"/>
      <c r="E390" s="2"/>
      <c r="G390" s="2"/>
      <c r="H390" s="2"/>
      <c r="I390" s="2"/>
      <c r="J390">
        <v>301.02999999999997</v>
      </c>
      <c r="M390" t="e">
        <f t="shared" si="27"/>
        <v>#DIV/0!</v>
      </c>
      <c r="N390" t="e">
        <f t="shared" si="28"/>
        <v>#DIV/0!</v>
      </c>
    </row>
    <row r="391" spans="1:14" x14ac:dyDescent="0.25">
      <c r="A391">
        <v>1404</v>
      </c>
      <c r="M391" t="e">
        <f t="shared" si="27"/>
        <v>#DIV/0!</v>
      </c>
      <c r="N391" t="e">
        <f t="shared" si="28"/>
        <v>#DIV/0!</v>
      </c>
    </row>
    <row r="392" spans="1:14" x14ac:dyDescent="0.25">
      <c r="A392" t="s">
        <v>27</v>
      </c>
      <c r="M392" t="e">
        <f t="shared" si="27"/>
        <v>#DIV/0!</v>
      </c>
      <c r="N392" t="e">
        <f t="shared" si="28"/>
        <v>#DIV/0!</v>
      </c>
    </row>
    <row r="393" spans="1:14" x14ac:dyDescent="0.25">
      <c r="A393" t="s">
        <v>28</v>
      </c>
      <c r="M393" t="e">
        <f t="shared" si="27"/>
        <v>#DIV/0!</v>
      </c>
      <c r="N393" t="e">
        <f t="shared" si="28"/>
        <v>#DIV/0!</v>
      </c>
    </row>
    <row r="394" spans="1:14" x14ac:dyDescent="0.25">
      <c r="A394">
        <v>1505</v>
      </c>
      <c r="M394" t="e">
        <f t="shared" si="27"/>
        <v>#DIV/0!</v>
      </c>
      <c r="N394" t="e">
        <f t="shared" si="28"/>
        <v>#DIV/0!</v>
      </c>
    </row>
    <row r="395" spans="1:14" x14ac:dyDescent="0.25">
      <c r="A395">
        <v>1604</v>
      </c>
      <c r="M395" t="e">
        <f t="shared" si="27"/>
        <v>#DIV/0!</v>
      </c>
      <c r="N395" t="e">
        <f t="shared" si="28"/>
        <v>#DIV/0!</v>
      </c>
    </row>
    <row r="396" spans="1:14" s="1" customFormat="1" x14ac:dyDescent="0.25">
      <c r="A396" s="1">
        <v>1606</v>
      </c>
      <c r="B396" s="13" t="s">
        <v>52</v>
      </c>
      <c r="D396" s="5"/>
      <c r="E396" s="5"/>
      <c r="G396" s="5"/>
      <c r="H396" s="5"/>
      <c r="I396" s="5"/>
      <c r="J396" s="1">
        <v>131</v>
      </c>
      <c r="M396" s="1" t="e">
        <f t="shared" si="27"/>
        <v>#DIV/0!</v>
      </c>
      <c r="N396" s="1" t="e">
        <f t="shared" si="28"/>
        <v>#DIV/0!</v>
      </c>
    </row>
    <row r="397" spans="1:14" x14ac:dyDescent="0.25">
      <c r="A397" t="s">
        <v>53</v>
      </c>
      <c r="B397" s="13"/>
      <c r="D397" s="2"/>
      <c r="E397" s="2"/>
      <c r="G397" s="2"/>
      <c r="H397" s="2"/>
      <c r="I397" s="2"/>
      <c r="J397">
        <v>203</v>
      </c>
      <c r="M397" t="e">
        <f t="shared" si="27"/>
        <v>#DIV/0!</v>
      </c>
      <c r="N397" t="e">
        <f t="shared" si="28"/>
        <v>#DIV/0!</v>
      </c>
    </row>
    <row r="398" spans="1:14" x14ac:dyDescent="0.25">
      <c r="A398" t="s">
        <v>54</v>
      </c>
      <c r="B398" s="13"/>
      <c r="D398" s="2"/>
      <c r="E398" s="2"/>
      <c r="G398" s="2"/>
      <c r="H398" s="2"/>
      <c r="I398" s="2"/>
      <c r="J398">
        <v>264</v>
      </c>
      <c r="M398" t="e">
        <f t="shared" si="27"/>
        <v>#DIV/0!</v>
      </c>
      <c r="N398" t="e">
        <f t="shared" si="28"/>
        <v>#DIV/0!</v>
      </c>
    </row>
    <row r="399" spans="1:14" x14ac:dyDescent="0.25">
      <c r="B399" s="13"/>
      <c r="D399" s="2"/>
      <c r="E399" s="2"/>
      <c r="G399" s="2"/>
      <c r="H399" s="2"/>
      <c r="I399" s="2"/>
      <c r="J399">
        <v>402</v>
      </c>
      <c r="M399" t="e">
        <f t="shared" si="27"/>
        <v>#DIV/0!</v>
      </c>
      <c r="N399" t="e">
        <f t="shared" si="28"/>
        <v>#DIV/0!</v>
      </c>
    </row>
    <row r="400" spans="1:14" x14ac:dyDescent="0.25">
      <c r="B400" s="13"/>
      <c r="D400" s="2"/>
      <c r="E400" s="2"/>
      <c r="G400" s="2"/>
      <c r="H400" s="2"/>
      <c r="I400" s="2"/>
      <c r="J400">
        <v>471</v>
      </c>
      <c r="M400" t="e">
        <f t="shared" si="27"/>
        <v>#DIV/0!</v>
      </c>
      <c r="N400" t="e">
        <f t="shared" si="28"/>
        <v>#DIV/0!</v>
      </c>
    </row>
    <row r="401" spans="1:14" x14ac:dyDescent="0.25">
      <c r="B401" s="13"/>
      <c r="D401" s="2"/>
      <c r="E401" s="2"/>
      <c r="G401" s="2"/>
      <c r="H401" s="2"/>
      <c r="I401" s="2"/>
      <c r="J401">
        <v>592</v>
      </c>
      <c r="M401" t="e">
        <f t="shared" si="27"/>
        <v>#DIV/0!</v>
      </c>
      <c r="N401" t="e">
        <f t="shared" si="28"/>
        <v>#DIV/0!</v>
      </c>
    </row>
    <row r="402" spans="1:14" x14ac:dyDescent="0.25">
      <c r="B402" s="13" t="s">
        <v>55</v>
      </c>
      <c r="D402" s="2"/>
      <c r="E402" s="2"/>
      <c r="G402" s="2"/>
      <c r="H402" s="2"/>
      <c r="I402" s="2"/>
      <c r="J402">
        <v>79</v>
      </c>
      <c r="M402" t="e">
        <f t="shared" si="27"/>
        <v>#DIV/0!</v>
      </c>
      <c r="N402" t="e">
        <f t="shared" si="28"/>
        <v>#DIV/0!</v>
      </c>
    </row>
    <row r="403" spans="1:14" x14ac:dyDescent="0.25">
      <c r="B403" s="13"/>
      <c r="D403" s="2"/>
      <c r="E403" s="2"/>
      <c r="G403" s="2"/>
      <c r="H403" s="2"/>
      <c r="I403" s="2"/>
      <c r="J403">
        <v>91</v>
      </c>
      <c r="M403" t="e">
        <f t="shared" si="27"/>
        <v>#DIV/0!</v>
      </c>
      <c r="N403" t="e">
        <f t="shared" si="28"/>
        <v>#DIV/0!</v>
      </c>
    </row>
    <row r="404" spans="1:14" x14ac:dyDescent="0.25">
      <c r="B404" s="13"/>
      <c r="D404" s="2"/>
      <c r="E404" s="2"/>
      <c r="G404" s="2"/>
      <c r="H404" s="2"/>
      <c r="I404" s="2"/>
      <c r="J404">
        <v>131</v>
      </c>
      <c r="M404" t="e">
        <f t="shared" si="27"/>
        <v>#DIV/0!</v>
      </c>
      <c r="N404" t="e">
        <f t="shared" si="28"/>
        <v>#DIV/0!</v>
      </c>
    </row>
    <row r="405" spans="1:14" x14ac:dyDescent="0.25">
      <c r="B405" s="13"/>
      <c r="D405" s="2"/>
      <c r="E405" s="2"/>
      <c r="G405" s="2"/>
      <c r="H405" s="2"/>
      <c r="I405" s="2"/>
      <c r="J405">
        <v>221</v>
      </c>
      <c r="M405" t="e">
        <f t="shared" si="27"/>
        <v>#DIV/0!</v>
      </c>
      <c r="N405" t="e">
        <f t="shared" si="28"/>
        <v>#DIV/0!</v>
      </c>
    </row>
    <row r="406" spans="1:14" x14ac:dyDescent="0.25">
      <c r="B406" s="13"/>
      <c r="D406" s="2"/>
      <c r="E406" s="2"/>
      <c r="G406" s="2"/>
      <c r="H406" s="2"/>
      <c r="I406" s="2"/>
      <c r="J406">
        <v>317</v>
      </c>
      <c r="M406" t="e">
        <f t="shared" si="27"/>
        <v>#DIV/0!</v>
      </c>
      <c r="N406" t="e">
        <f t="shared" si="28"/>
        <v>#DIV/0!</v>
      </c>
    </row>
    <row r="407" spans="1:14" x14ac:dyDescent="0.25">
      <c r="B407" s="13"/>
      <c r="D407" s="2"/>
      <c r="E407" s="2"/>
      <c r="G407" s="2"/>
      <c r="H407" s="2"/>
      <c r="I407" s="2"/>
      <c r="J407">
        <v>466</v>
      </c>
      <c r="M407" t="e">
        <f t="shared" si="27"/>
        <v>#DIV/0!</v>
      </c>
      <c r="N407" t="e">
        <f t="shared" si="28"/>
        <v>#DIV/0!</v>
      </c>
    </row>
    <row r="408" spans="1:14" x14ac:dyDescent="0.25">
      <c r="A408">
        <v>1805.5</v>
      </c>
      <c r="B408" t="s">
        <v>56</v>
      </c>
    </row>
    <row r="409" spans="1:14" x14ac:dyDescent="0.25">
      <c r="A409" t="s">
        <v>51</v>
      </c>
    </row>
    <row r="410" spans="1:14" x14ac:dyDescent="0.25">
      <c r="B410" t="s">
        <v>57</v>
      </c>
    </row>
    <row r="412" spans="1:14" x14ac:dyDescent="0.25">
      <c r="A412">
        <v>2004</v>
      </c>
    </row>
    <row r="413" spans="1:14" x14ac:dyDescent="0.25">
      <c r="A413">
        <v>2006</v>
      </c>
    </row>
  </sheetData>
  <mergeCells count="169">
    <mergeCell ref="E291:E294"/>
    <mergeCell ref="D293:D294"/>
    <mergeCell ref="D295:D296"/>
    <mergeCell ref="E295:E298"/>
    <mergeCell ref="D297:D298"/>
    <mergeCell ref="D277:D278"/>
    <mergeCell ref="D279:D280"/>
    <mergeCell ref="E279:E282"/>
    <mergeCell ref="D281:D282"/>
    <mergeCell ref="D249:D250"/>
    <mergeCell ref="D70:D71"/>
    <mergeCell ref="E263:E266"/>
    <mergeCell ref="D243:D244"/>
    <mergeCell ref="E243:E246"/>
    <mergeCell ref="D245:D246"/>
    <mergeCell ref="D247:D248"/>
    <mergeCell ref="E247:E250"/>
    <mergeCell ref="D255:D256"/>
    <mergeCell ref="E255:E258"/>
    <mergeCell ref="D257:D258"/>
    <mergeCell ref="B396:B401"/>
    <mergeCell ref="B402:B407"/>
    <mergeCell ref="D2:D3"/>
    <mergeCell ref="D4:D5"/>
    <mergeCell ref="D6:D7"/>
    <mergeCell ref="D8:D9"/>
    <mergeCell ref="D10:D11"/>
    <mergeCell ref="D12:D13"/>
    <mergeCell ref="D28:D29"/>
    <mergeCell ref="D26:D27"/>
    <mergeCell ref="B315:B328"/>
    <mergeCell ref="B329:B342"/>
    <mergeCell ref="B343:B352"/>
    <mergeCell ref="B353:B362"/>
    <mergeCell ref="B363:B368"/>
    <mergeCell ref="B369:B390"/>
    <mergeCell ref="D289:D290"/>
    <mergeCell ref="D291:D292"/>
    <mergeCell ref="D16:D17"/>
    <mergeCell ref="D18:D19"/>
    <mergeCell ref="D20:D21"/>
    <mergeCell ref="D22:D23"/>
    <mergeCell ref="D24:D25"/>
    <mergeCell ref="D253:D254"/>
    <mergeCell ref="D283:D284"/>
    <mergeCell ref="E283:E286"/>
    <mergeCell ref="D285:D286"/>
    <mergeCell ref="D287:D288"/>
    <mergeCell ref="E287:E290"/>
    <mergeCell ref="E275:E278"/>
    <mergeCell ref="E251:E254"/>
    <mergeCell ref="D265:D266"/>
    <mergeCell ref="B267:B282"/>
    <mergeCell ref="D267:D268"/>
    <mergeCell ref="D251:D252"/>
    <mergeCell ref="E267:E270"/>
    <mergeCell ref="D269:D270"/>
    <mergeCell ref="D271:D272"/>
    <mergeCell ref="E271:E274"/>
    <mergeCell ref="D273:D274"/>
    <mergeCell ref="D259:D260"/>
    <mergeCell ref="E259:E262"/>
    <mergeCell ref="D261:D262"/>
    <mergeCell ref="D263:D264"/>
    <mergeCell ref="B283:B298"/>
    <mergeCell ref="D275:D276"/>
    <mergeCell ref="B255:B266"/>
    <mergeCell ref="B243:B254"/>
    <mergeCell ref="B231:B242"/>
    <mergeCell ref="D231:D232"/>
    <mergeCell ref="E231:E234"/>
    <mergeCell ref="D233:D234"/>
    <mergeCell ref="D235:D236"/>
    <mergeCell ref="E235:E238"/>
    <mergeCell ref="D237:D238"/>
    <mergeCell ref="D239:D240"/>
    <mergeCell ref="E239:E242"/>
    <mergeCell ref="D241:D242"/>
    <mergeCell ref="E70:E73"/>
    <mergeCell ref="D72:D73"/>
    <mergeCell ref="B74:B122"/>
    <mergeCell ref="E74:E80"/>
    <mergeCell ref="E81:E87"/>
    <mergeCell ref="E88:E94"/>
    <mergeCell ref="E95:E101"/>
    <mergeCell ref="E102:E108"/>
    <mergeCell ref="E109:E115"/>
    <mergeCell ref="B58:B73"/>
    <mergeCell ref="D58:D59"/>
    <mergeCell ref="E58:E61"/>
    <mergeCell ref="D60:D61"/>
    <mergeCell ref="D62:D63"/>
    <mergeCell ref="E62:E65"/>
    <mergeCell ref="D64:D65"/>
    <mergeCell ref="D66:D67"/>
    <mergeCell ref="E66:E69"/>
    <mergeCell ref="D68:D69"/>
    <mergeCell ref="E116:E122"/>
    <mergeCell ref="E46:E49"/>
    <mergeCell ref="B2:B13"/>
    <mergeCell ref="B14:B29"/>
    <mergeCell ref="B30:B41"/>
    <mergeCell ref="D30:D31"/>
    <mergeCell ref="E30:E33"/>
    <mergeCell ref="D32:D33"/>
    <mergeCell ref="D34:D35"/>
    <mergeCell ref="E34:E37"/>
    <mergeCell ref="D36:D37"/>
    <mergeCell ref="D48:D49"/>
    <mergeCell ref="D40:D41"/>
    <mergeCell ref="E40:E41"/>
    <mergeCell ref="B42:B57"/>
    <mergeCell ref="D42:D43"/>
    <mergeCell ref="E22:E25"/>
    <mergeCell ref="E26:E29"/>
    <mergeCell ref="E2:E5"/>
    <mergeCell ref="E6:E9"/>
    <mergeCell ref="E10:E11"/>
    <mergeCell ref="E12:E13"/>
    <mergeCell ref="E14:E17"/>
    <mergeCell ref="E18:E21"/>
    <mergeCell ref="D14:D15"/>
    <mergeCell ref="D50:D51"/>
    <mergeCell ref="E50:E53"/>
    <mergeCell ref="D52:D53"/>
    <mergeCell ref="D54:D55"/>
    <mergeCell ref="E54:E57"/>
    <mergeCell ref="D56:D57"/>
    <mergeCell ref="D38:D39"/>
    <mergeCell ref="E38:E39"/>
    <mergeCell ref="B299:B314"/>
    <mergeCell ref="D299:D300"/>
    <mergeCell ref="D301:D302"/>
    <mergeCell ref="D303:D304"/>
    <mergeCell ref="D305:D306"/>
    <mergeCell ref="D307:D308"/>
    <mergeCell ref="D309:D310"/>
    <mergeCell ref="D311:D312"/>
    <mergeCell ref="D313:D314"/>
    <mergeCell ref="E299:E302"/>
    <mergeCell ref="E303:E306"/>
    <mergeCell ref="E307:E310"/>
    <mergeCell ref="E311:E314"/>
    <mergeCell ref="E42:E45"/>
    <mergeCell ref="D44:D45"/>
    <mergeCell ref="D46:D47"/>
    <mergeCell ref="D315:D316"/>
    <mergeCell ref="D317:D318"/>
    <mergeCell ref="D319:D320"/>
    <mergeCell ref="D321:D322"/>
    <mergeCell ref="D323:D324"/>
    <mergeCell ref="D325:D326"/>
    <mergeCell ref="D327:D328"/>
    <mergeCell ref="D329:D330"/>
    <mergeCell ref="E343:E362"/>
    <mergeCell ref="D331:D332"/>
    <mergeCell ref="D333:D334"/>
    <mergeCell ref="D335:D336"/>
    <mergeCell ref="D337:D338"/>
    <mergeCell ref="D339:D340"/>
    <mergeCell ref="D341:D342"/>
    <mergeCell ref="E315:E318"/>
    <mergeCell ref="E319:E322"/>
    <mergeCell ref="E323:E326"/>
    <mergeCell ref="E329:E332"/>
    <mergeCell ref="E333:E336"/>
    <mergeCell ref="E337:E340"/>
    <mergeCell ref="E327:E328"/>
    <mergeCell ref="E341:E34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AE4D0-3A99-4A4A-8A8E-90DC3E1ECD53}">
  <dimension ref="A1:P50"/>
  <sheetViews>
    <sheetView workbookViewId="0">
      <pane ySplit="1" topLeftCell="A2" activePane="bottomLeft" state="frozen"/>
      <selection pane="bottomLeft" activeCell="L8" sqref="L8"/>
    </sheetView>
  </sheetViews>
  <sheetFormatPr defaultRowHeight="13.8" x14ac:dyDescent="0.25"/>
  <cols>
    <col min="7" max="7" width="8.88671875" customWidth="1"/>
  </cols>
  <sheetData>
    <row r="1" spans="1:16" x14ac:dyDescent="0.25">
      <c r="A1" t="s">
        <v>240</v>
      </c>
      <c r="B1">
        <v>0.3</v>
      </c>
      <c r="C1">
        <v>1</v>
      </c>
      <c r="D1">
        <v>1.3</v>
      </c>
      <c r="E1">
        <v>2</v>
      </c>
      <c r="F1">
        <v>2.2999999999999998</v>
      </c>
      <c r="G1">
        <v>3</v>
      </c>
      <c r="H1">
        <v>4</v>
      </c>
      <c r="I1">
        <v>5</v>
      </c>
      <c r="J1">
        <v>8</v>
      </c>
      <c r="K1">
        <v>12</v>
      </c>
      <c r="L1">
        <v>13</v>
      </c>
      <c r="M1">
        <v>16</v>
      </c>
      <c r="N1">
        <v>21</v>
      </c>
      <c r="O1">
        <v>24</v>
      </c>
      <c r="P1">
        <v>48</v>
      </c>
    </row>
    <row r="2" spans="1:16" x14ac:dyDescent="0.25">
      <c r="A2">
        <v>0.8</v>
      </c>
      <c r="P2" t="s">
        <v>239</v>
      </c>
    </row>
    <row r="3" spans="1:16" x14ac:dyDescent="0.25">
      <c r="A3">
        <v>0.9</v>
      </c>
      <c r="O3" t="s">
        <v>238</v>
      </c>
    </row>
    <row r="4" spans="1:16" x14ac:dyDescent="0.25">
      <c r="A4">
        <v>1</v>
      </c>
      <c r="M4" t="s">
        <v>237</v>
      </c>
    </row>
    <row r="5" spans="1:16" x14ac:dyDescent="0.25">
      <c r="A5">
        <v>1.1200000000000001</v>
      </c>
      <c r="J5" t="s">
        <v>256</v>
      </c>
      <c r="L5" t="s">
        <v>235</v>
      </c>
      <c r="M5" t="s">
        <v>234</v>
      </c>
      <c r="N5" t="s">
        <v>233</v>
      </c>
    </row>
    <row r="6" spans="1:16" x14ac:dyDescent="0.25">
      <c r="J6" t="s">
        <v>236</v>
      </c>
      <c r="L6" t="s">
        <v>231</v>
      </c>
    </row>
    <row r="7" spans="1:16" x14ac:dyDescent="0.25">
      <c r="J7" t="s">
        <v>232</v>
      </c>
      <c r="L7" t="s">
        <v>230</v>
      </c>
    </row>
    <row r="8" spans="1:16" x14ac:dyDescent="0.25">
      <c r="L8" t="s">
        <v>229</v>
      </c>
    </row>
    <row r="9" spans="1:16" x14ac:dyDescent="0.25">
      <c r="A9">
        <v>1.25</v>
      </c>
      <c r="I9" t="s">
        <v>250</v>
      </c>
    </row>
    <row r="10" spans="1:16" x14ac:dyDescent="0.25">
      <c r="A10">
        <v>1.4</v>
      </c>
      <c r="G10" t="s">
        <v>228</v>
      </c>
      <c r="I10" t="s">
        <v>227</v>
      </c>
      <c r="J10" t="s">
        <v>226</v>
      </c>
      <c r="K10" t="s">
        <v>225</v>
      </c>
    </row>
    <row r="11" spans="1:16" x14ac:dyDescent="0.25">
      <c r="I11" t="s">
        <v>224</v>
      </c>
      <c r="J11" t="s">
        <v>223</v>
      </c>
      <c r="K11" t="s">
        <v>222</v>
      </c>
    </row>
    <row r="12" spans="1:16" x14ac:dyDescent="0.25">
      <c r="I12" t="s">
        <v>221</v>
      </c>
    </row>
    <row r="13" spans="1:16" x14ac:dyDescent="0.25">
      <c r="I13" t="s">
        <v>220</v>
      </c>
    </row>
    <row r="14" spans="1:16" x14ac:dyDescent="0.25">
      <c r="A14">
        <v>1.45</v>
      </c>
      <c r="J14" t="s">
        <v>219</v>
      </c>
    </row>
    <row r="15" spans="1:16" x14ac:dyDescent="0.25">
      <c r="J15" t="s">
        <v>218</v>
      </c>
    </row>
    <row r="16" spans="1:16" x14ac:dyDescent="0.25">
      <c r="A16">
        <v>1.5</v>
      </c>
      <c r="J16" t="s">
        <v>257</v>
      </c>
    </row>
    <row r="17" spans="1:11" x14ac:dyDescent="0.25">
      <c r="A17">
        <v>1.55</v>
      </c>
      <c r="K17" t="s">
        <v>217</v>
      </c>
    </row>
    <row r="18" spans="1:11" x14ac:dyDescent="0.25">
      <c r="K18" t="s">
        <v>216</v>
      </c>
    </row>
    <row r="19" spans="1:11" x14ac:dyDescent="0.25">
      <c r="K19" t="s">
        <v>215</v>
      </c>
    </row>
    <row r="20" spans="1:11" x14ac:dyDescent="0.25">
      <c r="A20">
        <v>1.62</v>
      </c>
      <c r="J20" t="s">
        <v>214</v>
      </c>
    </row>
    <row r="21" spans="1:11" x14ac:dyDescent="0.25">
      <c r="A21">
        <v>1.65</v>
      </c>
      <c r="E21" t="s">
        <v>252</v>
      </c>
    </row>
    <row r="22" spans="1:11" x14ac:dyDescent="0.25">
      <c r="A22">
        <v>1.75</v>
      </c>
      <c r="E22" t="s">
        <v>248</v>
      </c>
      <c r="G22" t="s">
        <v>212</v>
      </c>
    </row>
    <row r="23" spans="1:11" x14ac:dyDescent="0.25">
      <c r="E23" t="s">
        <v>247</v>
      </c>
    </row>
    <row r="24" spans="1:11" x14ac:dyDescent="0.25">
      <c r="E24" t="s">
        <v>213</v>
      </c>
    </row>
    <row r="25" spans="1:11" x14ac:dyDescent="0.25">
      <c r="E25" t="s">
        <v>211</v>
      </c>
    </row>
    <row r="26" spans="1:11" x14ac:dyDescent="0.25">
      <c r="A26">
        <v>2</v>
      </c>
      <c r="H26" t="s">
        <v>255</v>
      </c>
      <c r="I26" t="s">
        <v>209</v>
      </c>
      <c r="J26" t="s">
        <v>208</v>
      </c>
    </row>
    <row r="27" spans="1:11" x14ac:dyDescent="0.25">
      <c r="H27" t="s">
        <v>210</v>
      </c>
      <c r="I27" t="s">
        <v>206</v>
      </c>
      <c r="J27" t="s">
        <v>205</v>
      </c>
    </row>
    <row r="28" spans="1:11" x14ac:dyDescent="0.25">
      <c r="H28" t="s">
        <v>207</v>
      </c>
      <c r="I28" t="s">
        <v>204</v>
      </c>
    </row>
    <row r="29" spans="1:11" x14ac:dyDescent="0.25">
      <c r="A29">
        <v>2.2000000000000002</v>
      </c>
      <c r="B29" t="s">
        <v>203</v>
      </c>
      <c r="E29" t="s">
        <v>202</v>
      </c>
    </row>
    <row r="30" spans="1:11" x14ac:dyDescent="0.25">
      <c r="A30">
        <v>2.25</v>
      </c>
      <c r="B30" t="s">
        <v>201</v>
      </c>
    </row>
    <row r="31" spans="1:11" x14ac:dyDescent="0.25">
      <c r="A31">
        <v>2.4500000000000002</v>
      </c>
      <c r="G31" t="s">
        <v>200</v>
      </c>
    </row>
    <row r="32" spans="1:11" x14ac:dyDescent="0.25">
      <c r="A32">
        <v>2.7</v>
      </c>
      <c r="D32" t="s">
        <v>199</v>
      </c>
      <c r="E32" t="s">
        <v>258</v>
      </c>
    </row>
    <row r="33" spans="1:9" x14ac:dyDescent="0.25">
      <c r="A33">
        <v>2.72</v>
      </c>
      <c r="C33" t="s">
        <v>251</v>
      </c>
    </row>
    <row r="34" spans="1:9" x14ac:dyDescent="0.25">
      <c r="A34">
        <v>2.74</v>
      </c>
      <c r="I34" t="s">
        <v>198</v>
      </c>
    </row>
    <row r="35" spans="1:9" x14ac:dyDescent="0.25">
      <c r="A35">
        <v>2.8</v>
      </c>
      <c r="E35" t="s">
        <v>254</v>
      </c>
    </row>
    <row r="36" spans="1:9" x14ac:dyDescent="0.25">
      <c r="E36" t="s">
        <v>253</v>
      </c>
    </row>
    <row r="37" spans="1:9" x14ac:dyDescent="0.25">
      <c r="A37">
        <v>2.9</v>
      </c>
      <c r="E37" t="s">
        <v>197</v>
      </c>
      <c r="H37" t="s">
        <v>196</v>
      </c>
    </row>
    <row r="38" spans="1:9" x14ac:dyDescent="0.25">
      <c r="E38" t="s">
        <v>195</v>
      </c>
      <c r="H38" t="s">
        <v>194</v>
      </c>
    </row>
    <row r="39" spans="1:9" x14ac:dyDescent="0.25">
      <c r="E39" t="s">
        <v>193</v>
      </c>
      <c r="H39" t="s">
        <v>192</v>
      </c>
    </row>
    <row r="40" spans="1:9" x14ac:dyDescent="0.25">
      <c r="E40" t="s">
        <v>191</v>
      </c>
      <c r="H40" t="s">
        <v>246</v>
      </c>
    </row>
    <row r="41" spans="1:9" x14ac:dyDescent="0.25">
      <c r="E41" t="s">
        <v>190</v>
      </c>
    </row>
    <row r="42" spans="1:9" x14ac:dyDescent="0.25">
      <c r="E42" t="s">
        <v>189</v>
      </c>
    </row>
    <row r="43" spans="1:9" x14ac:dyDescent="0.25">
      <c r="A43">
        <v>3</v>
      </c>
      <c r="B43" t="s">
        <v>188</v>
      </c>
      <c r="C43" t="s">
        <v>249</v>
      </c>
      <c r="D43" t="s">
        <v>186</v>
      </c>
      <c r="E43" t="s">
        <v>185</v>
      </c>
      <c r="F43" t="s">
        <v>184</v>
      </c>
    </row>
    <row r="44" spans="1:9" x14ac:dyDescent="0.25">
      <c r="C44" t="s">
        <v>187</v>
      </c>
      <c r="E44" t="s">
        <v>183</v>
      </c>
    </row>
    <row r="45" spans="1:9" x14ac:dyDescent="0.25">
      <c r="A45">
        <v>3.4</v>
      </c>
      <c r="B45" t="s">
        <v>182</v>
      </c>
    </row>
    <row r="46" spans="1:9" x14ac:dyDescent="0.25">
      <c r="B46" t="s">
        <v>181</v>
      </c>
    </row>
    <row r="47" spans="1:9" x14ac:dyDescent="0.25">
      <c r="A47">
        <v>3.45</v>
      </c>
      <c r="D47" t="s">
        <v>180</v>
      </c>
      <c r="F47" t="s">
        <v>179</v>
      </c>
    </row>
    <row r="48" spans="1:9" x14ac:dyDescent="0.25">
      <c r="A48">
        <v>3.75</v>
      </c>
      <c r="B48" t="s">
        <v>178</v>
      </c>
      <c r="C48" t="s">
        <v>177</v>
      </c>
      <c r="E48" t="s">
        <v>176</v>
      </c>
    </row>
    <row r="49" spans="1:5" x14ac:dyDescent="0.25">
      <c r="B49" t="s">
        <v>175</v>
      </c>
    </row>
    <row r="50" spans="1:5" x14ac:dyDescent="0.25">
      <c r="A50">
        <v>4</v>
      </c>
      <c r="D50" t="s">
        <v>174</v>
      </c>
      <c r="E50" t="s">
        <v>173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1DEC-DB3C-4244-8D18-C8FE6C6E41C2}">
  <dimension ref="A1:F13"/>
  <sheetViews>
    <sheetView workbookViewId="0">
      <selection activeCell="F13" sqref="F13"/>
    </sheetView>
  </sheetViews>
  <sheetFormatPr defaultRowHeight="13.8" x14ac:dyDescent="0.25"/>
  <sheetData>
    <row r="1" spans="1:6" ht="13.8" customHeight="1" x14ac:dyDescent="0.25">
      <c r="A1" s="3" t="s">
        <v>241</v>
      </c>
      <c r="B1" t="s">
        <v>243</v>
      </c>
      <c r="C1">
        <v>4</v>
      </c>
      <c r="D1">
        <v>3</v>
      </c>
      <c r="E1">
        <v>16</v>
      </c>
      <c r="F1">
        <v>9</v>
      </c>
    </row>
    <row r="2" spans="1:6" x14ac:dyDescent="0.25">
      <c r="A2" s="2" t="s">
        <v>242</v>
      </c>
      <c r="B2" t="s">
        <v>244</v>
      </c>
      <c r="C2">
        <v>3</v>
      </c>
      <c r="D2">
        <v>4</v>
      </c>
      <c r="E2">
        <v>9</v>
      </c>
      <c r="F2">
        <v>16</v>
      </c>
    </row>
    <row r="3" spans="1:6" x14ac:dyDescent="0.25">
      <c r="A3" s="13" t="s">
        <v>245</v>
      </c>
      <c r="B3">
        <v>-30</v>
      </c>
      <c r="C3" s="4">
        <f t="shared" ref="C3:F13" si="0">ATAN(TAN((90+$B3)/2/180*PI())/C$1*SQRT(C$1^2+C$2^2))/PI()*180*2</f>
        <v>71.635051288887155</v>
      </c>
      <c r="D3" s="4">
        <f t="shared" si="0"/>
        <v>87.795772496027965</v>
      </c>
      <c r="E3" s="4">
        <f t="shared" si="0"/>
        <v>67.042685053037843</v>
      </c>
      <c r="F3" s="4">
        <f t="shared" si="0"/>
        <v>99.327006826755166</v>
      </c>
    </row>
    <row r="4" spans="1:6" x14ac:dyDescent="0.25">
      <c r="A4" s="13"/>
      <c r="B4">
        <v>-20</v>
      </c>
      <c r="C4" s="4">
        <f t="shared" si="0"/>
        <v>82.388685071041792</v>
      </c>
      <c r="D4" s="4">
        <f t="shared" si="0"/>
        <v>98.814195224935901</v>
      </c>
      <c r="E4" s="4">
        <f t="shared" si="0"/>
        <v>77.55549237393744</v>
      </c>
      <c r="F4" s="4">
        <f t="shared" si="0"/>
        <v>110.0032238447828</v>
      </c>
    </row>
    <row r="5" spans="1:6" x14ac:dyDescent="0.25">
      <c r="A5" s="13"/>
      <c r="B5">
        <v>-15</v>
      </c>
      <c r="C5" s="4">
        <f t="shared" si="0"/>
        <v>87.61153275249886</v>
      </c>
      <c r="D5" s="4">
        <f t="shared" si="0"/>
        <v>103.95379125334156</v>
      </c>
      <c r="E5" s="4">
        <f t="shared" si="0"/>
        <v>82.720780449288114</v>
      </c>
      <c r="F5" s="4">
        <f t="shared" si="0"/>
        <v>114.84928191530859</v>
      </c>
    </row>
    <row r="6" spans="1:6" x14ac:dyDescent="0.25">
      <c r="A6" s="13"/>
      <c r="B6">
        <v>-10</v>
      </c>
      <c r="C6" s="4">
        <f t="shared" si="0"/>
        <v>92.732987096012195</v>
      </c>
      <c r="D6" s="4">
        <f t="shared" si="0"/>
        <v>108.86650931555168</v>
      </c>
      <c r="E6" s="4">
        <f t="shared" si="0"/>
        <v>87.824825084163848</v>
      </c>
      <c r="F6" s="4">
        <f t="shared" si="0"/>
        <v>119.4070241373351</v>
      </c>
    </row>
    <row r="7" spans="1:6" x14ac:dyDescent="0.25">
      <c r="A7" s="13"/>
      <c r="B7">
        <v>-5</v>
      </c>
      <c r="C7" s="4">
        <f t="shared" si="0"/>
        <v>97.755037825294608</v>
      </c>
      <c r="D7" s="4">
        <f t="shared" si="0"/>
        <v>113.56763658046242</v>
      </c>
      <c r="E7" s="4">
        <f t="shared" si="0"/>
        <v>92.867905434914746</v>
      </c>
      <c r="F7" s="4">
        <f t="shared" si="0"/>
        <v>123.70409818636172</v>
      </c>
    </row>
    <row r="8" spans="1:6" x14ac:dyDescent="0.25">
      <c r="A8" s="13"/>
      <c r="B8">
        <v>0</v>
      </c>
      <c r="C8" s="4">
        <f>ATAN(TAN((90+$B8)/2/180*PI())/C$1*SQRT(C$1^2+C$2^2))/PI()*180*2</f>
        <v>102.68038349181981</v>
      </c>
      <c r="D8" s="4">
        <f t="shared" si="0"/>
        <v>118.07248693585296</v>
      </c>
      <c r="E8" s="4">
        <f t="shared" si="0"/>
        <v>97.850779692350685</v>
      </c>
      <c r="F8" s="4">
        <f t="shared" si="0"/>
        <v>127.76615460048723</v>
      </c>
    </row>
    <row r="9" spans="1:6" x14ac:dyDescent="0.25">
      <c r="A9" s="13"/>
      <c r="B9">
        <v>5</v>
      </c>
      <c r="C9" s="4">
        <f t="shared" si="0"/>
        <v>107.51232717937978</v>
      </c>
      <c r="D9" s="4">
        <f t="shared" si="0"/>
        <v>122.39612363581308</v>
      </c>
      <c r="E9" s="4">
        <f t="shared" si="0"/>
        <v>102.77464564953235</v>
      </c>
      <c r="F9" s="4">
        <f t="shared" si="0"/>
        <v>131.6167957093455</v>
      </c>
    </row>
    <row r="10" spans="1:6" x14ac:dyDescent="0.25">
      <c r="A10" s="13"/>
      <c r="B10">
        <v>10</v>
      </c>
      <c r="C10" s="4">
        <f t="shared" si="0"/>
        <v>112.25467929941806</v>
      </c>
      <c r="D10" s="4">
        <f t="shared" si="0"/>
        <v>126.55316763115661</v>
      </c>
      <c r="E10" s="4">
        <f t="shared" si="0"/>
        <v>107.64110043428207</v>
      </c>
      <c r="F10" s="4">
        <f t="shared" si="0"/>
        <v>135.27762169151598</v>
      </c>
    </row>
    <row r="11" spans="1:6" x14ac:dyDescent="0.25">
      <c r="A11" s="13"/>
      <c r="B11">
        <v>15</v>
      </c>
      <c r="C11" s="4">
        <f t="shared" si="0"/>
        <v>116.91166895881982</v>
      </c>
      <c r="D11" s="4">
        <f t="shared" si="0"/>
        <v>130.55767378061077</v>
      </c>
      <c r="E11" s="4">
        <f t="shared" si="0"/>
        <v>112.45210045746572</v>
      </c>
      <c r="F11" s="4">
        <f t="shared" si="0"/>
        <v>138.76833610273502</v>
      </c>
    </row>
    <row r="12" spans="1:6" x14ac:dyDescent="0.25">
      <c r="A12" s="13"/>
      <c r="B12">
        <v>20</v>
      </c>
      <c r="C12" s="4">
        <f t="shared" si="0"/>
        <v>121.48786471807995</v>
      </c>
      <c r="D12" s="4">
        <f t="shared" si="0"/>
        <v>134.42305946575749</v>
      </c>
      <c r="E12" s="4">
        <f t="shared" si="0"/>
        <v>117.20992242932276</v>
      </c>
      <c r="F12" s="4">
        <f t="shared" si="0"/>
        <v>142.1068846660728</v>
      </c>
    </row>
    <row r="13" spans="1:6" x14ac:dyDescent="0.25">
      <c r="A13" s="13"/>
      <c r="B13">
        <v>30</v>
      </c>
      <c r="C13" s="4">
        <f>ATAN(TAN((90+$B13)/2/180*PI())/C$1*SQRT(C$1^2+C$2^2))/PI()*180*2</f>
        <v>130.4174382057102</v>
      </c>
      <c r="D13" s="4">
        <f t="shared" si="0"/>
        <v>141.78678929826182</v>
      </c>
      <c r="E13" s="4">
        <f t="shared" si="0"/>
        <v>126.57651923212768</v>
      </c>
      <c r="F13" s="4">
        <f t="shared" si="0"/>
        <v>148.39140836308769</v>
      </c>
    </row>
  </sheetData>
  <mergeCells count="1">
    <mergeCell ref="A3:A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续航时间</vt:lpstr>
      <vt:lpstr>桨叶库</vt:lpstr>
      <vt:lpstr>电机库</vt:lpstr>
      <vt:lpstr>电池库</vt:lpstr>
      <vt:lpstr>数据验证</vt:lpstr>
      <vt:lpstr>摄像头</vt:lpstr>
      <vt:lpstr>四环绕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Citron kyo</dc:creator>
  <cp:lastModifiedBy>Citron kyo</cp:lastModifiedBy>
  <dcterms:created xsi:type="dcterms:W3CDTF">2026-02-20T06:12:13Z</dcterms:created>
  <dcterms:modified xsi:type="dcterms:W3CDTF">2026-03-31T10:04:56Z</dcterms:modified>
</cp:coreProperties>
</file>